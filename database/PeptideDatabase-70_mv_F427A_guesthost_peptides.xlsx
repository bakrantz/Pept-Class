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krantz/Documents/python/database/"/>
    </mc:Choice>
  </mc:AlternateContent>
  <xr:revisionPtr revIDLastSave="0" documentId="8_{287B3748-0F46-4942-84B1-613A19FD3039}" xr6:coauthVersionLast="47" xr6:coauthVersionMax="47" xr10:uidLastSave="{00000000-0000-0000-0000-000000000000}"/>
  <bookViews>
    <workbookView xWindow="1100" yWindow="820" windowWidth="28040" windowHeight="17440" xr2:uid="{771C88DF-88B2-E348-BE11-2567F4397102}"/>
  </bookViews>
  <sheets>
    <sheet name="PA_F427A_70_mv_guesthos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2" l="1"/>
  <c r="N10" i="2"/>
  <c r="N11" i="2"/>
  <c r="N8" i="2"/>
  <c r="E68" i="1"/>
  <c r="D68" i="1"/>
  <c r="E66" i="1"/>
  <c r="D66" i="1"/>
  <c r="D39" i="2"/>
  <c r="D40" i="2"/>
  <c r="D41" i="2"/>
  <c r="D38" i="2"/>
  <c r="D33" i="2"/>
  <c r="D34" i="2"/>
  <c r="D35" i="2"/>
  <c r="D32" i="2"/>
  <c r="D27" i="2"/>
  <c r="D28" i="2"/>
  <c r="D29" i="2"/>
  <c r="D26" i="2"/>
  <c r="D21" i="2"/>
  <c r="D22" i="2"/>
  <c r="D23" i="2"/>
  <c r="D20" i="2"/>
  <c r="I9" i="2"/>
  <c r="I10" i="2"/>
  <c r="I11" i="2"/>
  <c r="I8" i="2"/>
  <c r="D3" i="2"/>
  <c r="D4" i="2"/>
  <c r="D5" i="2"/>
  <c r="D2" i="2"/>
  <c r="D9" i="2"/>
  <c r="D10" i="2"/>
  <c r="D11" i="2"/>
  <c r="D8" i="2"/>
  <c r="D15" i="2"/>
  <c r="D16" i="2"/>
  <c r="D17" i="2"/>
  <c r="D14" i="2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E10" i="1"/>
  <c r="D10" i="1"/>
  <c r="D24" i="1"/>
  <c r="E24" i="1"/>
  <c r="D25" i="1"/>
  <c r="E25" i="1"/>
  <c r="D26" i="1"/>
  <c r="E26" i="1"/>
  <c r="D27" i="1"/>
  <c r="E27" i="1"/>
  <c r="D28" i="1"/>
  <c r="E28" i="1"/>
  <c r="D29" i="1"/>
  <c r="E29" i="1"/>
  <c r="D36" i="1"/>
  <c r="E36" i="1"/>
  <c r="D37" i="1"/>
  <c r="E37" i="1"/>
  <c r="D38" i="1"/>
  <c r="E38" i="1"/>
  <c r="D39" i="1"/>
  <c r="E39" i="1"/>
  <c r="D40" i="1"/>
  <c r="E40" i="1"/>
  <c r="D41" i="1"/>
  <c r="E41" i="1"/>
  <c r="D49" i="1"/>
  <c r="E49" i="1"/>
  <c r="D50" i="1"/>
  <c r="E50" i="1"/>
  <c r="D51" i="1"/>
  <c r="E51" i="1"/>
  <c r="D52" i="1"/>
  <c r="E52" i="1"/>
  <c r="D53" i="1"/>
  <c r="E53" i="1"/>
  <c r="E48" i="1"/>
  <c r="D48" i="1"/>
  <c r="D57" i="1"/>
  <c r="E57" i="1"/>
  <c r="D58" i="1"/>
  <c r="E58" i="1"/>
  <c r="D59" i="1"/>
  <c r="E59" i="1"/>
  <c r="D69" i="1"/>
  <c r="E69" i="1"/>
  <c r="D70" i="1"/>
  <c r="E70" i="1"/>
  <c r="D71" i="1"/>
  <c r="E71" i="1"/>
  <c r="D72" i="1"/>
  <c r="E72" i="1"/>
  <c r="D73" i="1"/>
  <c r="E73" i="1"/>
  <c r="D74" i="1"/>
  <c r="E74" i="1"/>
  <c r="D75" i="1"/>
  <c r="E75" i="1"/>
  <c r="D85" i="1"/>
  <c r="E85" i="1"/>
  <c r="D86" i="1"/>
  <c r="E86" i="1"/>
  <c r="D87" i="1"/>
  <c r="E87" i="1"/>
  <c r="D88" i="1"/>
  <c r="E88" i="1"/>
  <c r="D89" i="1"/>
  <c r="E89" i="1"/>
  <c r="D90" i="1"/>
  <c r="E90" i="1"/>
  <c r="D91" i="1"/>
  <c r="E91" i="1"/>
  <c r="D92" i="1"/>
  <c r="E92" i="1"/>
  <c r="D93" i="1"/>
  <c r="E93" i="1"/>
  <c r="E84" i="1"/>
  <c r="D84" i="1"/>
  <c r="E83" i="1"/>
  <c r="D83" i="1"/>
  <c r="E82" i="1"/>
  <c r="D82" i="1"/>
  <c r="E81" i="1"/>
  <c r="D81" i="1"/>
  <c r="E80" i="1"/>
  <c r="D80" i="1"/>
  <c r="E79" i="1"/>
  <c r="D79" i="1"/>
  <c r="E78" i="1"/>
  <c r="D78" i="1"/>
  <c r="E77" i="1"/>
  <c r="D77" i="1"/>
  <c r="E76" i="1"/>
  <c r="D76" i="1"/>
  <c r="E56" i="1"/>
  <c r="D56" i="1"/>
  <c r="E55" i="1"/>
  <c r="D55" i="1"/>
  <c r="E54" i="1"/>
  <c r="D54" i="1"/>
  <c r="E67" i="1"/>
  <c r="D67" i="1"/>
  <c r="E65" i="1"/>
  <c r="D65" i="1"/>
  <c r="D64" i="1"/>
  <c r="E64" i="1"/>
  <c r="E63" i="1"/>
  <c r="D63" i="1"/>
  <c r="E62" i="1"/>
  <c r="D62" i="1"/>
  <c r="E61" i="1"/>
  <c r="D61" i="1"/>
  <c r="E60" i="1"/>
  <c r="D60" i="1"/>
  <c r="E47" i="1"/>
  <c r="D47" i="1"/>
  <c r="E46" i="1"/>
  <c r="D46" i="1"/>
  <c r="D44" i="1"/>
  <c r="E44" i="1"/>
  <c r="D45" i="1"/>
  <c r="E45" i="1"/>
  <c r="E43" i="1"/>
  <c r="D43" i="1"/>
  <c r="E42" i="1"/>
  <c r="D42" i="1"/>
  <c r="E35" i="1"/>
  <c r="D35" i="1"/>
  <c r="E34" i="1"/>
  <c r="D34" i="1"/>
  <c r="E33" i="1"/>
  <c r="D33" i="1"/>
  <c r="E32" i="1"/>
  <c r="D32" i="1"/>
  <c r="E31" i="1"/>
  <c r="D31" i="1"/>
  <c r="E30" i="1"/>
  <c r="D30" i="1"/>
  <c r="E23" i="1"/>
  <c r="D23" i="1"/>
  <c r="E22" i="1"/>
  <c r="D22" i="1"/>
  <c r="E21" i="1"/>
  <c r="D21" i="1"/>
  <c r="E20" i="1"/>
  <c r="D20" i="1"/>
  <c r="E19" i="1"/>
  <c r="D19" i="1"/>
  <c r="E18" i="1"/>
  <c r="D18" i="1"/>
  <c r="E9" i="1"/>
  <c r="D9" i="1"/>
  <c r="E8" i="1"/>
  <c r="D8" i="1"/>
  <c r="E7" i="1"/>
  <c r="D7" i="1"/>
  <c r="E6" i="1"/>
  <c r="D6" i="1"/>
  <c r="E5" i="1"/>
  <c r="D5" i="1"/>
  <c r="D3" i="1"/>
  <c r="E3" i="1"/>
  <c r="D4" i="1"/>
  <c r="E4" i="1"/>
  <c r="E2" i="1"/>
  <c r="D2" i="1"/>
</calcChain>
</file>

<file path=xl/sharedStrings.xml><?xml version="1.0" encoding="utf-8"?>
<sst xmlns="http://schemas.openxmlformats.org/spreadsheetml/2006/main" count="865" uniqueCount="300">
  <si>
    <t>guesthost_Ala</t>
  </si>
  <si>
    <t>guesthost_Leu</t>
  </si>
  <si>
    <t>guesthost_Phe</t>
  </si>
  <si>
    <t>guesthost_Thr</t>
  </si>
  <si>
    <t>guesthost_Trp</t>
  </si>
  <si>
    <t>guesthost_TrpDL</t>
  </si>
  <si>
    <t>guesthost_Tyr</t>
  </si>
  <si>
    <t>peptide_name</t>
  </si>
  <si>
    <t>peptide_conc</t>
  </si>
  <si>
    <t>raw_data_file</t>
  </si>
  <si>
    <t>time_sampling</t>
  </si>
  <si>
    <t>user</t>
  </si>
  <si>
    <t>jmcolby</t>
  </si>
  <si>
    <t>voltage</t>
  </si>
  <si>
    <t>comments</t>
  </si>
  <si>
    <t>nanopore_name</t>
  </si>
  <si>
    <t>peptide_sequence</t>
  </si>
  <si>
    <t>KKKKKAASAA</t>
  </si>
  <si>
    <t>KKKKKLLSLL</t>
  </si>
  <si>
    <t>KKKKKFFSFF</t>
  </si>
  <si>
    <t>KKKKKTTSTT</t>
  </si>
  <si>
    <t>KKKKKWWSWW</t>
  </si>
  <si>
    <t>KKKKKYYSYY</t>
  </si>
  <si>
    <t>KkKkKwWsWw</t>
  </si>
  <si>
    <t>buffer</t>
  </si>
  <si>
    <t>SCB</t>
  </si>
  <si>
    <t>data_file</t>
  </si>
  <si>
    <t>data_path</t>
  </si>
  <si>
    <t>simulation</t>
  </si>
  <si>
    <t>experimental</t>
  </si>
  <si>
    <t>added_noise</t>
  </si>
  <si>
    <t>PA_F427A</t>
  </si>
  <si>
    <t>11o12002.abf</t>
  </si>
  <si>
    <t>11o12002-guesthost_Ala-70_mV-F427A-600_Hz-rpt_1.atf</t>
  </si>
  <si>
    <t>11o12002-guesthost_Ala-70_mV-F427A-600_Hz-rpt_2.atf</t>
  </si>
  <si>
    <t>11o12002-guesthost_Ala-70_mV-F427A-600_Hz-rpt_3.atf</t>
  </si>
  <si>
    <t>11o14000.abf</t>
  </si>
  <si>
    <t>11o14000-guesthost_Ala-70_mV-F427A-600_Hz-rpt_1.atf</t>
  </si>
  <si>
    <t>11o14000-guesthost_Ala-70_mV-F427A-600_Hz-rpt_2.atf</t>
  </si>
  <si>
    <t>11o14000-guesthost_Ala-70_mV-F427A-600_Hz-rpt_3.atf</t>
  </si>
  <si>
    <t>11o14001.abf</t>
  </si>
  <si>
    <t>11o14001-guesthost_Ala-70_mV-F427A-600_Hz-rpt_1.atf</t>
  </si>
  <si>
    <t>11o14001-guesthost_Ala-70_mV-F427A-600_Hz-rpt_2.atf</t>
  </si>
  <si>
    <t>11o11002.abf</t>
  </si>
  <si>
    <t>11o11002-guesthost_Leu-70_mV-F427A-600_Hz-rpt_1.atf</t>
  </si>
  <si>
    <t>11o11002-guesthost_Leu-70_mV-F427A-600_Hz-rpt_2.atf</t>
  </si>
  <si>
    <t>11o11003.abf</t>
  </si>
  <si>
    <t>11o11003-guesthost_Leu-70_mV-F427A-600_Hz-rpt_1.atf</t>
  </si>
  <si>
    <t>11o11003-guesthost_Leu-70_mV-F427A-600_Hz-rpt_2.atf</t>
  </si>
  <si>
    <t>11o12001.abf</t>
  </si>
  <si>
    <t>11o12001-guesthost_Leu-70_mV-F427A-600_Hz-rpt_1.atf</t>
  </si>
  <si>
    <t>11o12001-guesthost_Leu-70_mV-F427A-600_Hz-rpt_2.atf</t>
  </si>
  <si>
    <t>11o18000-guesthost_Phe-70_mV-F427A-600_Hz-rpt_1.atf</t>
  </si>
  <si>
    <t>11o18000.abf - but cannot locate it</t>
  </si>
  <si>
    <t>11o18000-guesthost_Phe-70_mV-F427A-600_Hz-rpt_3.atf</t>
  </si>
  <si>
    <t>11o18000-guesthost_Phe-70_mV-F427A-600_Hz-rpt_2.atf</t>
  </si>
  <si>
    <t>11o18001-guesthost_Phe-70_mV-F427A-600_Hz.atf</t>
  </si>
  <si>
    <t>11o18001.abf - but cannot locate it</t>
  </si>
  <si>
    <t>11o18002-guesthost_Phe-70_mV-F427A-600_Hz-rpt_1.atf</t>
  </si>
  <si>
    <t>11o18002-guesthost_Phe-70_mV-F427A-600_Hz-rpt_2.atf</t>
  </si>
  <si>
    <t>11o18002.abf - but cannot locate it</t>
  </si>
  <si>
    <t>11830000.abf - but cannot locate it</t>
  </si>
  <si>
    <t>11830000-guesthost_Thr-70_mV-F427A-500_Hz-rpt_2.atf</t>
  </si>
  <si>
    <t>11830000-guesthost_Thr-70_mV-F427A-500_Hz-rpt_1.atf</t>
  </si>
  <si>
    <t>11830001-guesthost_Thr-70_mV-F427A-500_Hz-rpt_1.atf</t>
  </si>
  <si>
    <t>11830001.abf - but cannot locate it</t>
  </si>
  <si>
    <t>11830001-guesthost_Thr-70_mV-F427A-500_Hz-rpt_2.atf</t>
  </si>
  <si>
    <t>11830001-guesthost_Thr-70_mV-F427A-500_Hz-rpt_3.atf</t>
  </si>
  <si>
    <t>11830003-guesthost_Thr-70_mV-F427A-500_Hz.atf</t>
  </si>
  <si>
    <t>11830003.abf - but cannot locate it</t>
  </si>
  <si>
    <t>11o27002-guesthost_TrpDL-70_mV-F427A-600_Hz-rpt_1.atf</t>
  </si>
  <si>
    <t>11o27002.abf - but cannot locate it</t>
  </si>
  <si>
    <t>11o27002-guesthost_TrpDL-70_mV-F427A-600_Hz-rpt_2.atf</t>
  </si>
  <si>
    <t>11o27002-guesthost_TrpDL-70_mV-F427A-600_Hz-rpt_3.atf</t>
  </si>
  <si>
    <t>11o27003-guesthost_TrpDL-70_mV-F427A-600_Hz-rpt_1.atf</t>
  </si>
  <si>
    <t>11o27003.abf - but cannot locate it</t>
  </si>
  <si>
    <t>11o27003-guesthost_TrpDL-70_mV-F427A-600_Hz-rpt_2.atf</t>
  </si>
  <si>
    <t>11o27004-guesthost_TrpDL-70_mV-F427A-600_Hz-rpt_1.atf</t>
  </si>
  <si>
    <t>11o27004.abf - but cannot locate it</t>
  </si>
  <si>
    <t>11o28000.abf - but cannot locate it</t>
  </si>
  <si>
    <t>11o28000-guesthost_TrpDL-70_mV-F427A-600_Hz.atf</t>
  </si>
  <si>
    <t>11829005-guesthost_Trp-70_mV-F427A-500_Hz.atf</t>
  </si>
  <si>
    <t>11829007-guesthost_Trp-70_mV-F427A-500_Hz-rpt_1.atf</t>
  </si>
  <si>
    <t>11829007-guesthost_Trp-70_mV-F427A-500_Hz-rpt_2.atf</t>
  </si>
  <si>
    <t>11d06004.abf</t>
  </si>
  <si>
    <t>11d06004-guesthost_Tyr-70_mV-F427A-600_Hz.atf</t>
  </si>
  <si>
    <t>11d06005.abf</t>
  </si>
  <si>
    <t>11d06005-guesthost_Tyr-70_mV-F427A-600_Hz-rpt_1.atf</t>
  </si>
  <si>
    <t>11d06005-guesthost_Tyr-70_mV-F427A-600_Hz-rpt_2.atf</t>
  </si>
  <si>
    <t>11d06005-guesthost_Tyr-70_mV-F427A-600_Hz-rpt_3.atf</t>
  </si>
  <si>
    <t>11d06005-guesthost_Tyr-70_mV-F427A-600_Hz-rpt_4.atf</t>
  </si>
  <si>
    <t>11o26000.abf - but cannot locate it</t>
  </si>
  <si>
    <t>11829005.abf - but cannot locate it</t>
  </si>
  <si>
    <t>11829007.abf - but cannot locate it</t>
  </si>
  <si>
    <t>11o26000-guesthost_Tyr-70_mV-F427A-600_Hz.atf</t>
  </si>
  <si>
    <t>11o26001-guesthost_Tyr-70_mV-F427A-600_Hz.atf</t>
  </si>
  <si>
    <t>11o26001.abf - but cannot locate it</t>
  </si>
  <si>
    <t>11o26002-guesthost_Tyr-70_mV-F427A-600_Hz.atf</t>
  </si>
  <si>
    <t>11o26002.abf - but cannot locate it</t>
  </si>
  <si>
    <t>11o26003-guesthost_Tyr-70_mV-F427A-600_Hz.atf</t>
  </si>
  <si>
    <t>11o26003.abf - but cannot locate it</t>
  </si>
  <si>
    <t>11d06004-guesthost_Tyr-70_mV-F427A-400_Hz-downsampled.atf</t>
  </si>
  <si>
    <t>11d06005-guesthost_Tyr-70_mV-F427A-400_Hz-downsampled-rpt_1.atf</t>
  </si>
  <si>
    <t>11d06005-guesthost_Tyr-70_mV-F427A-400_Hz-downsampled-rpt_2.atf</t>
  </si>
  <si>
    <t>11d06005-guesthost_Tyr-70_mV-F427A-400_Hz-downsampled-rpt_3.atf</t>
  </si>
  <si>
    <t>11d06005-guesthost_Tyr-70_mV-F427A-400_Hz-downsampled-rpt_4.atf</t>
  </si>
  <si>
    <t>11o26000-guesthost_Tyr-70_mV-F427A-400_Hz-downsampled.atf</t>
  </si>
  <si>
    <t>11o26001-guesthost_Tyr-70_mV-F427A-400_Hz-downsampled.atf</t>
  </si>
  <si>
    <t>11o26002-guesthost_Tyr-70_mV-F427A-400_Hz-downsampled.atf</t>
  </si>
  <si>
    <t>11o26003-guesthost_Tyr-70_mV-F427A-400_Hz-downsampled.atf</t>
  </si>
  <si>
    <t>bakrantz</t>
  </si>
  <si>
    <t>downsampled 11d06004-guesthost_Tyr-70_mV-F427A-600_Hz.atf</t>
  </si>
  <si>
    <t>downsampled 11d06005-guesthost_Tyr-70_mV-F427A-600_Hz-rpt_1.atf</t>
  </si>
  <si>
    <t>downsampled 11d06005-guesthost_Tyr-70_mV-F427A-600_Hz-rpt_2.atf</t>
  </si>
  <si>
    <t>downsampled 11d06005-guesthost_Tyr-70_mV-F427A-600_Hz-rpt_3.atf</t>
  </si>
  <si>
    <t>downsampled 11d06005-guesthost_Tyr-70_mV-F427A-600_Hz-rpt_4.atf</t>
  </si>
  <si>
    <t>downsampled 11o26000-guesthost_Tyr-70_mV-F427A-600_Hz.atf</t>
  </si>
  <si>
    <t>downsampled 11o26001-guesthost_Tyr-70_mV-F427A-600_Hz.atf</t>
  </si>
  <si>
    <t>downsampled 11o26002-guesthost_Tyr-70_mV-F427A-600_Hz.atf</t>
  </si>
  <si>
    <t>downsampled 11o26003-guesthost_Tyr-70_mV-F427A-600_Hz.atf</t>
  </si>
  <si>
    <t>11o27002-guesthost_TrpDL-70_mV-F427A-400_Hz-downsampled-rpt_1.atf</t>
  </si>
  <si>
    <t>11o27002-guesthost_TrpDL-70_mV-F427A-400_Hz-downsampled-rpt_2.atf</t>
  </si>
  <si>
    <t>11o27002-guesthost_TrpDL-70_mV-F427A-400_Hz-downsampled-rpt_3.atf</t>
  </si>
  <si>
    <t>11o27003-guesthost_TrpDL-70_mV-F427A-400_Hz-downsampled-rpt_1.atf</t>
  </si>
  <si>
    <t>11o27003-guesthost_TrpDL-70_mV-F427A-400_Hz-downsampled-rpt_2.atf</t>
  </si>
  <si>
    <t>11o27004-guesthost_TrpDL-70_mV-F427A-400_Hz-downsampled-rpt_1.atf</t>
  </si>
  <si>
    <t>11o28000-guesthost_TrpDL-70_mV-F427A-400_Hz-downsampled.atf</t>
  </si>
  <si>
    <t>downsampled 11o27002-guesthost_TrpDL-70_mV-F427A-600_Hz-rpt_1.atf</t>
  </si>
  <si>
    <t>downsampled 11o27002-guesthost_TrpDL-70_mV-F427A-600_Hz-rpt_2.atf</t>
  </si>
  <si>
    <t>downsampled 11o27002-guesthost_TrpDL-70_mV-F427A-600_Hz-rpt_3.atf</t>
  </si>
  <si>
    <t>downsampled 11o27003-guesthost_TrpDL-70_mV-F427A-600_Hz-rpt_1.atf</t>
  </si>
  <si>
    <t>downsampled 11o27003-guesthost_TrpDL-70_mV-F427A-600_Hz-rpt_2.atf</t>
  </si>
  <si>
    <t>downsampled 11o27004-guesthost_TrpDL-70_mV-F427A-600_Hz-rpt_1.atf</t>
  </si>
  <si>
    <t>downsampled 11o28000-guesthost_TrpDL-70_mV-F427A-600_Hz.atf</t>
  </si>
  <si>
    <t>11829005-guesthost_Trp-70_mV-F427A-400_Hz-downsampled.atf</t>
  </si>
  <si>
    <t>11829007-guesthost_Trp-70_mV-F427A-400_Hz-downsampled-rpt_1.atf</t>
  </si>
  <si>
    <t>11829007-guesthost_Trp-70_mV-F427A-400_Hz-downsampled-rpt_2.atf</t>
  </si>
  <si>
    <t>downsampled 11829005-guesthost_Trp-70_mV-F427A-500_Hz.atf</t>
  </si>
  <si>
    <t>downsampled 11829007-guesthost_Trp-70_mV-F427A-500_Hz-rpt_1.atf</t>
  </si>
  <si>
    <t>downsampled 11829007-guesthost_Trp-70_mV-F427A-500_Hz-rpt_2.atf</t>
  </si>
  <si>
    <t>11830000-guesthost_Thr-70_mV-F427A-400_Hz-downsampled-rpt_1.atf</t>
  </si>
  <si>
    <t>11830000-guesthost_Thr-70_mV-F427A-400_Hz-downsampled-rpt_2.atf</t>
  </si>
  <si>
    <t>11830001-guesthost_Thr-70_mV-F427A-400_Hz-downsampled-rpt_1.atf</t>
  </si>
  <si>
    <t>11830001-guesthost_Thr-70_mV-F427A-400_Hz-downsampled-rpt_2.atf</t>
  </si>
  <si>
    <t>11830001-guesthost_Thr-70_mV-F427A-400_Hz-downsampled-rpt_3.atf</t>
  </si>
  <si>
    <t>11830003-guesthost_Thr-70_mV-F427A-400_Hz-downsampled.atf</t>
  </si>
  <si>
    <t>downsampled 11830000-guesthost_Thr-70_mV-F427A-500_Hz-rpt_1.atf</t>
  </si>
  <si>
    <t>downsampled 11830000-guesthost_Thr-70_mV-F427A-500_Hz-rpt_2.atf</t>
  </si>
  <si>
    <t>downsampled 11830001-guesthost_Thr-70_mV-F427A-500_Hz-rpt_1.atf</t>
  </si>
  <si>
    <t>downsampled 11830001-guesthost_Thr-70_mV-F427A-500_Hz-rpt_2.atf</t>
  </si>
  <si>
    <t>downsampled 11830001-guesthost_Thr-70_mV-F427A-500_Hz-rpt_3.atf</t>
  </si>
  <si>
    <t>downsampled 11830003-guesthost_Thr-70_mV-F427A-500_Hz.atf</t>
  </si>
  <si>
    <t>downsampled 11o18000-guesthost_Phe-70_mV-F427A-600_Hz-rpt_1.atf</t>
  </si>
  <si>
    <t>downsampled 11o18000-guesthost_Phe-70_mV-F427A-600_Hz-rpt_2.atf</t>
  </si>
  <si>
    <t>downsampled 11o18000-guesthost_Phe-70_mV-F427A-600_Hz-rpt_3.atf</t>
  </si>
  <si>
    <t>downsampled 11o18001-guesthost_Phe-70_mV-F427A-600_Hz.atf</t>
  </si>
  <si>
    <t>downsampled 11o18002-guesthost_Phe-70_mV-F427A-600_Hz-rpt_1.atf</t>
  </si>
  <si>
    <t>downsampled 11o18002-guesthost_Phe-70_mV-F427A-600_Hz-rpt_2.atf</t>
  </si>
  <si>
    <t>downsampled 11o11002-guesthost_Leu-70_mV-F427A-600_Hz-rpt_1.atf</t>
  </si>
  <si>
    <t>downsampled 11o11002-guesthost_Leu-70_mV-F427A-600_Hz-rpt_2.atf</t>
  </si>
  <si>
    <t>downsampled 11o11003-guesthost_Leu-70_mV-F427A-600_Hz-rpt_1.atf</t>
  </si>
  <si>
    <t>downsampled 11o11003-guesthost_Leu-70_mV-F427A-600_Hz-rpt_2.atf</t>
  </si>
  <si>
    <t>downsampled 11o12001-guesthost_Leu-70_mV-F427A-600_Hz-rpt_1.atf</t>
  </si>
  <si>
    <t>downsampled 11o12001-guesthost_Leu-70_mV-F427A-600_Hz-rpt_2.atf</t>
  </si>
  <si>
    <t>11o11002-guesthost_Leu-70_mV-F427A-400_Hz-downsampled-rpt_1.atf</t>
  </si>
  <si>
    <t>11o11002-guesthost_Leu-70_mV-F427A-400_Hz-downsampled-rpt_2.atf</t>
  </si>
  <si>
    <t>11o11003-guesthost_Leu-70_mV-F427A-400_Hz-downsampled-rpt_1.atf</t>
  </si>
  <si>
    <t>11o11003-guesthost_Leu-70_mV-F427A-400_Hz-downsampled-rpt_2.atf</t>
  </si>
  <si>
    <t>11o12001-guesthost_Leu-70_mV-F427A-400_Hz-downsampled-rpt_1.atf</t>
  </si>
  <si>
    <t>11o12001-guesthost_Leu-70_mV-F427A-400_Hz-downsampled-rpt_2.atf</t>
  </si>
  <si>
    <t>11o12002-guesthost_Ala-70_mV-F427A-400_Hz-downsampled-rpt_1.atf</t>
  </si>
  <si>
    <t>11o12002-guesthost_Ala-70_mV-F427A-400_Hz-downsampled-rpt_2.atf</t>
  </si>
  <si>
    <t>11o12002-guesthost_Ala-70_mV-F427A-400_Hz-downsampled-rpt_3.atf</t>
  </si>
  <si>
    <t>11o14000-guesthost_Ala-70_mV-F427A-400_Hz-downsampled-rpt_1.atf</t>
  </si>
  <si>
    <t>11o14000-guesthost_Ala-70_mV-F427A-400_Hz-downsampled-rpt_2.atf</t>
  </si>
  <si>
    <t>11o14000-guesthost_Ala-70_mV-F427A-400_Hz-downsampled-rpt_3.atf</t>
  </si>
  <si>
    <t>11o14001-guesthost_Ala-70_mV-F427A-400_Hz-downsampled-rpt_1.atf</t>
  </si>
  <si>
    <t>11o14001-guesthost_Ala-70_mV-F427A-400_Hz-downsampled-rpt_2.atf</t>
  </si>
  <si>
    <t>downsampled 11o12002-guesthost_Ala-70_mV-F427A-600_Hz-rpt_1.atf</t>
  </si>
  <si>
    <t>downsampled 11o12002-guesthost_Ala-70_mV-F427A-600_Hz-rpt_2.atf</t>
  </si>
  <si>
    <t>downsampled 11o12002-guesthost_Ala-70_mV-F427A-600_Hz-rpt_3.atf</t>
  </si>
  <si>
    <t>downsampled 11o14000-guesthost_Ala-70_mV-F427A-600_Hz-rpt_1.atf</t>
  </si>
  <si>
    <t>downsampled 11o14000-guesthost_Ala-70_mV-F427A-600_Hz-rpt_2.atf</t>
  </si>
  <si>
    <t>downsampled 11o14000-guesthost_Ala-70_mV-F427A-600_Hz-rpt_3.atf</t>
  </si>
  <si>
    <t>downsampled 11o14001-guesthost_Ala-70_mV-F427A-600_Hz-rpt_1.atf</t>
  </si>
  <si>
    <t>downsampled 11o14001-guesthost_Ala-70_mV-F427A-600_Hz-rpt_2.atf</t>
  </si>
  <si>
    <t>11o18000-guesthost_Phe-70_mV-F427A-400_Hz-downsampled-rpt_1.atf</t>
  </si>
  <si>
    <t>11o18000-guesthost_Phe-70_mV-F427A-400_Hz-downsampled-rpt_2.atf</t>
  </si>
  <si>
    <t>11o18000-guesthost_Phe-70_mV-F427A-400_Hz-downsampled-rpt_3.atf</t>
  </si>
  <si>
    <t>11o18001-guesthost_Phe-70_mV-F427A-400_Hz-downsampled.atf</t>
  </si>
  <si>
    <t>11o18002-guesthost_Phe-70_mV-F427A-400_Hz-downsampled-rpt_1.atf</t>
  </si>
  <si>
    <t>11o18002-guesthost_Phe-70_mV-F427A-400_Hz-downsampled-rpt_2.atf</t>
  </si>
  <si>
    <t>Trp</t>
  </si>
  <si>
    <t>F427A</t>
  </si>
  <si>
    <t>Tyr</t>
  </si>
  <si>
    <t>TrpDL</t>
  </si>
  <si>
    <t>Thr</t>
  </si>
  <si>
    <t>Phe</t>
  </si>
  <si>
    <t>Leu</t>
  </si>
  <si>
    <t>Ala</t>
  </si>
  <si>
    <t>11o27004-guesthost_TrpDL-70_mV-F427A-600_Hz-rpt_2.atf</t>
  </si>
  <si>
    <t>11o27004-guesthost_TrpDL-70_mV-F427A-400_Hz-downsampled-rpt_2.atf</t>
  </si>
  <si>
    <t>downsampled 11o27004-guesthost_TrpDL-70_mV-F427A-600_Hz-rpt_2.atf</t>
  </si>
  <si>
    <t>11d06004-guesthost_Tyr-70_mV-F427A-600_Hz.csv</t>
  </si>
  <si>
    <t>11d06005-guesthost_Tyr-70_mV-F427A-600_Hz-rpt_1.csv</t>
  </si>
  <si>
    <t>11d06005-guesthost_Tyr-70_mV-F427A-600_Hz-rpt_2.csv</t>
  </si>
  <si>
    <t>11d06005-guesthost_Tyr-70_mV-F427A-600_Hz-rpt_3.csv</t>
  </si>
  <si>
    <t>11d06005-guesthost_Tyr-70_mV-F427A-600_Hz-rpt_4.csv</t>
  </si>
  <si>
    <t>11o26000-guesthost_Tyr-70_mV-F427A-600_Hz.csv</t>
  </si>
  <si>
    <t>11o26001-guesthost_Tyr-70_mV-F427A-600_Hz.csv</t>
  </si>
  <si>
    <t>11o26002-guesthost_Tyr-70_mV-F427A-600_Hz.csv</t>
  </si>
  <si>
    <t>11o26003-guesthost_Tyr-70_mV-F427A-600_Hz.csv</t>
  </si>
  <si>
    <t>11d06004-guesthost_Tyr-70_mV-F427A-400_Hz-downsampled.csv</t>
  </si>
  <si>
    <t>11d06005-guesthost_Tyr-70_mV-F427A-400_Hz-downsampled-rpt_1.csv</t>
  </si>
  <si>
    <t>11d06005-guesthost_Tyr-70_mV-F427A-400_Hz-downsampled-rpt_2.csv</t>
  </si>
  <si>
    <t>11d06005-guesthost_Tyr-70_mV-F427A-400_Hz-downsampled-rpt_3.csv</t>
  </si>
  <si>
    <t>11d06005-guesthost_Tyr-70_mV-F427A-400_Hz-downsampled-rpt_4.csv</t>
  </si>
  <si>
    <t>11o26000-guesthost_Tyr-70_mV-F427A-400_Hz-downsampled.csv</t>
  </si>
  <si>
    <t>11o26001-guesthost_Tyr-70_mV-F427A-400_Hz-downsampled.csv</t>
  </si>
  <si>
    <t>11o26002-guesthost_Tyr-70_mV-F427A-400_Hz-downsampled.csv</t>
  </si>
  <si>
    <t>11o26003-guesthost_Tyr-70_mV-F427A-400_Hz-downsampled.csv</t>
  </si>
  <si>
    <t>11o27002-guesthost_TrpDL-70_mV-F427A-600_Hz-rpt_1.csv</t>
  </si>
  <si>
    <t>11o27002-guesthost_TrpDL-70_mV-F427A-600_Hz-rpt_2.csv</t>
  </si>
  <si>
    <t>11o27002-guesthost_TrpDL-70_mV-F427A-600_Hz-rpt_3.csv</t>
  </si>
  <si>
    <t>11o27003-guesthost_TrpDL-70_mV-F427A-600_Hz-rpt_1.csv</t>
  </si>
  <si>
    <t>11o27003-guesthost_TrpDL-70_mV-F427A-600_Hz-rpt_2.csv</t>
  </si>
  <si>
    <t>11o27004-guesthost_TrpDL-70_mV-F427A-600_Hz-rpt_1.csv</t>
  </si>
  <si>
    <t>11o27004-guesthost_TrpDL-70_mV-F427A-600_Hz-rpt_2.csv</t>
  </si>
  <si>
    <t>11o28000-guesthost_TrpDL-70_mV-F427A-600_Hz.csv</t>
  </si>
  <si>
    <t>11o27002-guesthost_TrpDL-70_mV-F427A-400_Hz-downsampled-rpt_1.csv</t>
  </si>
  <si>
    <t>11o27002-guesthost_TrpDL-70_mV-F427A-400_Hz-downsampled-rpt_2.csv</t>
  </si>
  <si>
    <t>11o27002-guesthost_TrpDL-70_mV-F427A-400_Hz-downsampled-rpt_3.csv</t>
  </si>
  <si>
    <t>11o27003-guesthost_TrpDL-70_mV-F427A-400_Hz-downsampled-rpt_1.csv</t>
  </si>
  <si>
    <t>11o27003-guesthost_TrpDL-70_mV-F427A-400_Hz-downsampled-rpt_2.csv</t>
  </si>
  <si>
    <t>11o27004-guesthost_TrpDL-70_mV-F427A-400_Hz-downsampled-rpt_1.csv</t>
  </si>
  <si>
    <t>11o27004-guesthost_TrpDL-70_mV-F427A-400_Hz-downsampled-rpt_2.csv</t>
  </si>
  <si>
    <t>11o28000-guesthost_TrpDL-70_mV-F427A-400_Hz-downsampled.csv</t>
  </si>
  <si>
    <t>11829005-guesthost_Trp-70_mV-F427A-500_Hz.csv</t>
  </si>
  <si>
    <t>11829007-guesthost_Trp-70_mV-F427A-500_Hz-rpt_1.csv</t>
  </si>
  <si>
    <t>11829007-guesthost_Trp-70_mV-F427A-500_Hz-rpt_2.csv</t>
  </si>
  <si>
    <t>11829005-guesthost_Trp-70_mV-F427A-400_Hz-downsampled.csv</t>
  </si>
  <si>
    <t>11829007-guesthost_Trp-70_mV-F427A-400_Hz-downsampled-rpt_1.csv</t>
  </si>
  <si>
    <t>11829007-guesthost_Trp-70_mV-F427A-400_Hz-downsampled-rpt_2.csv</t>
  </si>
  <si>
    <t>11830000-guesthost_Thr-70_mV-F427A-500_Hz-rpt_1.csv</t>
  </si>
  <si>
    <t>11830000-guesthost_Thr-70_mV-F427A-500_Hz-rpt_2.csv</t>
  </si>
  <si>
    <t>11830001-guesthost_Thr-70_mV-F427A-500_Hz-rpt_1.csv</t>
  </si>
  <si>
    <t>11830001-guesthost_Thr-70_mV-F427A-500_Hz-rpt_2.csv</t>
  </si>
  <si>
    <t>11830001-guesthost_Thr-70_mV-F427A-500_Hz-rpt_3.csv</t>
  </si>
  <si>
    <t>11830003-guesthost_Thr-70_mV-F427A-500_Hz.csv</t>
  </si>
  <si>
    <t>11830000-guesthost_Thr-70_mV-F427A-400_Hz-downsampled-rpt_1.csv</t>
  </si>
  <si>
    <t>11830000-guesthost_Thr-70_mV-F427A-400_Hz-downsampled-rpt_2.csv</t>
  </si>
  <si>
    <t>11830001-guesthost_Thr-70_mV-F427A-400_Hz-downsampled-rpt_1.csv</t>
  </si>
  <si>
    <t>11830001-guesthost_Thr-70_mV-F427A-400_Hz-downsampled-rpt_2.csv</t>
  </si>
  <si>
    <t>11830001-guesthost_Thr-70_mV-F427A-400_Hz-downsampled-rpt_3.csv</t>
  </si>
  <si>
    <t>11830003-guesthost_Thr-70_mV-F427A-400_Hz-downsampled.csv</t>
  </si>
  <si>
    <t>11o18000-guesthost_Phe-70_mV-F427A-600_Hz-rpt_1.csv</t>
  </si>
  <si>
    <t>11o18000-guesthost_Phe-70_mV-F427A-600_Hz-rpt_2.csv</t>
  </si>
  <si>
    <t>11o18000-guesthost_Phe-70_mV-F427A-600_Hz-rpt_3.csv</t>
  </si>
  <si>
    <t>11o18001-guesthost_Phe-70_mV-F427A-600_Hz.csv</t>
  </si>
  <si>
    <t>11o18002-guesthost_Phe-70_mV-F427A-600_Hz-rpt_1.csv</t>
  </si>
  <si>
    <t>11o18002-guesthost_Phe-70_mV-F427A-600_Hz-rpt_2.csv</t>
  </si>
  <si>
    <t>11o18000-guesthost_Phe-70_mV-F427A-400_Hz-downsampled-rpt_1.csv</t>
  </si>
  <si>
    <t>11o18000-guesthost_Phe-70_mV-F427A-400_Hz-downsampled-rpt_2.csv</t>
  </si>
  <si>
    <t>11o18000-guesthost_Phe-70_mV-F427A-400_Hz-downsampled-rpt_3.csv</t>
  </si>
  <si>
    <t>11o18001-guesthost_Phe-70_mV-F427A-400_Hz-downsampled.csv</t>
  </si>
  <si>
    <t>11o18002-guesthost_Phe-70_mV-F427A-400_Hz-downsampled-rpt_1.csv</t>
  </si>
  <si>
    <t>11o18002-guesthost_Phe-70_mV-F427A-400_Hz-downsampled-rpt_2.csv</t>
  </si>
  <si>
    <t>11o11002-guesthost_Leu-70_mV-F427A-600_Hz-rpt_1.csv</t>
  </si>
  <si>
    <t>11o11002-guesthost_Leu-70_mV-F427A-600_Hz-rpt_2.csv</t>
  </si>
  <si>
    <t>11o11003-guesthost_Leu-70_mV-F427A-600_Hz-rpt_1.csv</t>
  </si>
  <si>
    <t>11o11003-guesthost_Leu-70_mV-F427A-600_Hz-rpt_2.csv</t>
  </si>
  <si>
    <t>11o12001-guesthost_Leu-70_mV-F427A-600_Hz-rpt_1.csv</t>
  </si>
  <si>
    <t>11o12001-guesthost_Leu-70_mV-F427A-600_Hz-rpt_2.csv</t>
  </si>
  <si>
    <t>11o11002-guesthost_Leu-70_mV-F427A-400_Hz-downsampled-rpt_1.csv</t>
  </si>
  <si>
    <t>11o11002-guesthost_Leu-70_mV-F427A-400_Hz-downsampled-rpt_2.csv</t>
  </si>
  <si>
    <t>11o11003-guesthost_Leu-70_mV-F427A-400_Hz-downsampled-rpt_1.csv</t>
  </si>
  <si>
    <t>11o11003-guesthost_Leu-70_mV-F427A-400_Hz-downsampled-rpt_2.csv</t>
  </si>
  <si>
    <t>11o12001-guesthost_Leu-70_mV-F427A-400_Hz-downsampled-rpt_1.csv</t>
  </si>
  <si>
    <t>11o12001-guesthost_Leu-70_mV-F427A-400_Hz-downsampled-rpt_2.csv</t>
  </si>
  <si>
    <t>11o12002-guesthost_Ala-70_mV-F427A-600_Hz-rpt_1.csv</t>
  </si>
  <si>
    <t>11o12002-guesthost_Ala-70_mV-F427A-600_Hz-rpt_2.csv</t>
  </si>
  <si>
    <t>11o12002-guesthost_Ala-70_mV-F427A-600_Hz-rpt_3.csv</t>
  </si>
  <si>
    <t>11o14000-guesthost_Ala-70_mV-F427A-600_Hz-rpt_1.csv</t>
  </si>
  <si>
    <t>11o14000-guesthost_Ala-70_mV-F427A-600_Hz-rpt_2.csv</t>
  </si>
  <si>
    <t>11o14000-guesthost_Ala-70_mV-F427A-600_Hz-rpt_3.csv</t>
  </si>
  <si>
    <t>11o14001-guesthost_Ala-70_mV-F427A-600_Hz-rpt_1.csv</t>
  </si>
  <si>
    <t>11o14001-guesthost_Ala-70_mV-F427A-600_Hz-rpt_2.csv</t>
  </si>
  <si>
    <t>11o12002-guesthost_Ala-70_mV-F427A-400_Hz-downsampled-rpt_1.csv</t>
  </si>
  <si>
    <t>11o12002-guesthost_Ala-70_mV-F427A-400_Hz-downsampled-rpt_2.csv</t>
  </si>
  <si>
    <t>11o12002-guesthost_Ala-70_mV-F427A-400_Hz-downsampled-rpt_3.csv</t>
  </si>
  <si>
    <t>11o14000-guesthost_Ala-70_mV-F427A-400_Hz-downsampled-rpt_1.csv</t>
  </si>
  <si>
    <t>11o14000-guesthost_Ala-70_mV-F427A-400_Hz-downsampled-rpt_2.csv</t>
  </si>
  <si>
    <t>11o14000-guesthost_Ala-70_mV-F427A-400_Hz-downsampled-rpt_3.csv</t>
  </si>
  <si>
    <t>11o14001-guesthost_Ala-70_mV-F427A-400_Hz-downsampled-rpt_1.csv</t>
  </si>
  <si>
    <t>11o14001-guesthost_Ala-70_mV-F427A-400_Hz-downsampled-rpt_2.csv</t>
  </si>
  <si>
    <t>ph_cis</t>
  </si>
  <si>
    <t>ph_trans</t>
  </si>
  <si>
    <t>salt</t>
  </si>
  <si>
    <t>salt_conc</t>
  </si>
  <si>
    <t>KCl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</si>
</sst>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rgb="FF000000"/>
      <name val="Helvetica Neue"/>
      <family val="2"/>
    </font>
    <font>
      <sz val="10"/>
      <color rgb="FF000000"/>
      <name val="Helvetica Neue"/>
      <family val="2"/>
    </font>
    <font>
      <sz val="12"/>
      <color theme="1"/>
      <name val="Aptos Narrow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9" fillId="33" borderId="0" xfId="0" applyFont="1" applyFill="1"/>
    <xf numFmtId="0" fontId="16" fillId="33" borderId="0" xfId="0" applyFont="1" applyFill="1"/>
    <xf numFmtId="0" fontId="0" fillId="0" borderId="0" xfId="0" quotePrefix="1"/>
    <xf numFmtId="0" fontId="20" fillId="0" borderId="0" xfId="0" applyFont="1"/>
    <xf numFmtId="0" fontId="21" fillId="0" borderId="0" xfId="0" applyFont="1"/>
    <xf numFmtId="0" fontId="0" fillId="34" borderId="0" xfId="0" applyFill="1"/>
    <xf numFmtId="0" fontId="20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02983-7886-F046-AB34-426E7E084EE9}">
  <dimension ref="A1:AC93"/>
  <sheetViews>
    <sheetView tabSelected="1" topLeftCell="B58" workbookViewId="0">
      <selection activeCell="O2" sqref="L2:O93"/>
    </sheetView>
  </sheetViews>
  <sheetFormatPr baseColWidth="10" defaultRowHeight="16" x14ac:dyDescent="0.2"/>
  <cols>
    <col min="1" max="1" width="14.5" bestFit="1" customWidth="1"/>
    <col min="2" max="2" width="59" bestFit="1" customWidth="1"/>
    <col min="3" max="3" width="8.1640625" bestFit="1" customWidth="1"/>
    <col min="4" max="4" width="10" bestFit="1" customWidth="1"/>
    <col min="5" max="5" width="12.1640625" customWidth="1"/>
    <col min="6" max="6" width="62.33203125" bestFit="1" customWidth="1"/>
    <col min="8" max="8" width="16" bestFit="1" customWidth="1"/>
    <col min="9" max="9" width="14.5" customWidth="1"/>
    <col min="10" max="10" width="7.1640625" bestFit="1" customWidth="1"/>
    <col min="11" max="11" width="6.1640625" bestFit="1" customWidth="1"/>
    <col min="12" max="12" width="6.5" bestFit="1" customWidth="1"/>
    <col min="13" max="13" width="8.33203125" bestFit="1" customWidth="1"/>
    <col min="14" max="14" width="4.33203125" bestFit="1" customWidth="1"/>
    <col min="15" max="15" width="9.1640625" bestFit="1" customWidth="1"/>
    <col min="16" max="16" width="12.1640625" bestFit="1" customWidth="1"/>
    <col min="17" max="17" width="12.5" bestFit="1" customWidth="1"/>
    <col min="18" max="18" width="12.5" customWidth="1"/>
    <col min="19" max="19" width="62" bestFit="1" customWidth="1"/>
    <col min="20" max="20" width="7" bestFit="1" customWidth="1"/>
  </cols>
  <sheetData>
    <row r="1" spans="1:29" s="2" customFormat="1" x14ac:dyDescent="0.2">
      <c r="A1" s="2" t="s">
        <v>7</v>
      </c>
      <c r="B1" s="2" t="s">
        <v>26</v>
      </c>
      <c r="C1" s="2" t="s">
        <v>11</v>
      </c>
      <c r="D1" s="2" t="s">
        <v>28</v>
      </c>
      <c r="E1" s="2" t="s">
        <v>29</v>
      </c>
      <c r="F1" s="2" t="s">
        <v>9</v>
      </c>
      <c r="G1" s="2" t="s">
        <v>27</v>
      </c>
      <c r="H1" s="2" t="s">
        <v>16</v>
      </c>
      <c r="I1" s="2" t="s">
        <v>15</v>
      </c>
      <c r="J1" s="2" t="s">
        <v>13</v>
      </c>
      <c r="K1" s="2" t="s">
        <v>24</v>
      </c>
      <c r="L1" s="2" t="s">
        <v>295</v>
      </c>
      <c r="M1" s="2" t="s">
        <v>296</v>
      </c>
      <c r="N1" s="2" t="s">
        <v>297</v>
      </c>
      <c r="O1" s="2" t="s">
        <v>298</v>
      </c>
      <c r="P1" s="2" t="s">
        <v>8</v>
      </c>
      <c r="Q1" s="2" t="s">
        <v>10</v>
      </c>
      <c r="R1" s="2" t="s">
        <v>30</v>
      </c>
      <c r="S1" s="2" t="s">
        <v>14</v>
      </c>
      <c r="X1" s="1"/>
      <c r="AC1" s="1"/>
    </row>
    <row r="2" spans="1:29" x14ac:dyDescent="0.2">
      <c r="A2" t="s">
        <v>0</v>
      </c>
      <c r="B2" s="4" t="s">
        <v>279</v>
      </c>
      <c r="C2" t="s">
        <v>12</v>
      </c>
      <c r="D2" t="str">
        <f>"False"</f>
        <v>False</v>
      </c>
      <c r="E2" t="str">
        <f>"True"</f>
        <v>True</v>
      </c>
      <c r="F2" s="3" t="s">
        <v>33</v>
      </c>
      <c r="H2" t="s">
        <v>17</v>
      </c>
      <c r="I2" t="s">
        <v>31</v>
      </c>
      <c r="J2">
        <v>70</v>
      </c>
      <c r="K2" t="s">
        <v>25</v>
      </c>
      <c r="L2">
        <v>5.6</v>
      </c>
      <c r="M2">
        <v>5.6</v>
      </c>
      <c r="N2" t="s">
        <v>299</v>
      </c>
      <c r="O2">
        <v>0.1</v>
      </c>
      <c r="P2">
        <v>20</v>
      </c>
      <c r="Q2">
        <v>600</v>
      </c>
      <c r="S2" t="s">
        <v>32</v>
      </c>
    </row>
    <row r="3" spans="1:29" x14ac:dyDescent="0.2">
      <c r="A3" t="s">
        <v>0</v>
      </c>
      <c r="B3" s="4" t="s">
        <v>280</v>
      </c>
      <c r="C3" t="s">
        <v>12</v>
      </c>
      <c r="D3" t="str">
        <f t="shared" ref="D3:D93" si="0">"False"</f>
        <v>False</v>
      </c>
      <c r="E3" t="str">
        <f t="shared" ref="E3:E93" si="1">"True"</f>
        <v>True</v>
      </c>
      <c r="F3" s="3" t="s">
        <v>34</v>
      </c>
      <c r="H3" t="s">
        <v>17</v>
      </c>
      <c r="I3" t="s">
        <v>31</v>
      </c>
      <c r="J3">
        <v>70</v>
      </c>
      <c r="K3" t="s">
        <v>25</v>
      </c>
      <c r="L3">
        <v>5.6</v>
      </c>
      <c r="M3">
        <v>5.6</v>
      </c>
      <c r="N3" t="s">
        <v>299</v>
      </c>
      <c r="O3">
        <v>0.1</v>
      </c>
      <c r="P3">
        <v>20</v>
      </c>
      <c r="Q3">
        <v>600</v>
      </c>
      <c r="S3" t="s">
        <v>32</v>
      </c>
    </row>
    <row r="4" spans="1:29" x14ac:dyDescent="0.2">
      <c r="A4" t="s">
        <v>0</v>
      </c>
      <c r="B4" s="4" t="s">
        <v>281</v>
      </c>
      <c r="C4" t="s">
        <v>12</v>
      </c>
      <c r="D4" t="str">
        <f t="shared" si="0"/>
        <v>False</v>
      </c>
      <c r="E4" t="str">
        <f t="shared" si="1"/>
        <v>True</v>
      </c>
      <c r="F4" s="3" t="s">
        <v>35</v>
      </c>
      <c r="H4" t="s">
        <v>17</v>
      </c>
      <c r="I4" t="s">
        <v>31</v>
      </c>
      <c r="J4">
        <v>70</v>
      </c>
      <c r="K4" t="s">
        <v>25</v>
      </c>
      <c r="L4">
        <v>5.6</v>
      </c>
      <c r="M4">
        <v>5.6</v>
      </c>
      <c r="N4" t="s">
        <v>299</v>
      </c>
      <c r="O4">
        <v>0.1</v>
      </c>
      <c r="P4">
        <v>20</v>
      </c>
      <c r="Q4">
        <v>600</v>
      </c>
      <c r="S4" t="s">
        <v>32</v>
      </c>
    </row>
    <row r="5" spans="1:29" x14ac:dyDescent="0.2">
      <c r="A5" t="s">
        <v>0</v>
      </c>
      <c r="B5" s="4" t="s">
        <v>282</v>
      </c>
      <c r="C5" t="s">
        <v>12</v>
      </c>
      <c r="D5" t="str">
        <f t="shared" si="0"/>
        <v>False</v>
      </c>
      <c r="E5" t="str">
        <f t="shared" si="1"/>
        <v>True</v>
      </c>
      <c r="F5" t="s">
        <v>37</v>
      </c>
      <c r="H5" t="s">
        <v>17</v>
      </c>
      <c r="I5" t="s">
        <v>31</v>
      </c>
      <c r="J5">
        <v>70</v>
      </c>
      <c r="K5" t="s">
        <v>25</v>
      </c>
      <c r="L5">
        <v>5.6</v>
      </c>
      <c r="M5">
        <v>5.6</v>
      </c>
      <c r="N5" t="s">
        <v>299</v>
      </c>
      <c r="O5">
        <v>0.1</v>
      </c>
      <c r="P5">
        <v>20</v>
      </c>
      <c r="Q5">
        <v>600</v>
      </c>
      <c r="S5" t="s">
        <v>36</v>
      </c>
    </row>
    <row r="6" spans="1:29" x14ac:dyDescent="0.2">
      <c r="A6" t="s">
        <v>0</v>
      </c>
      <c r="B6" s="4" t="s">
        <v>283</v>
      </c>
      <c r="C6" t="s">
        <v>12</v>
      </c>
      <c r="D6" t="str">
        <f t="shared" si="0"/>
        <v>False</v>
      </c>
      <c r="E6" t="str">
        <f t="shared" si="1"/>
        <v>True</v>
      </c>
      <c r="F6" t="s">
        <v>38</v>
      </c>
      <c r="H6" t="s">
        <v>17</v>
      </c>
      <c r="I6" t="s">
        <v>31</v>
      </c>
      <c r="J6">
        <v>70</v>
      </c>
      <c r="K6" t="s">
        <v>25</v>
      </c>
      <c r="L6">
        <v>5.6</v>
      </c>
      <c r="M6">
        <v>5.6</v>
      </c>
      <c r="N6" t="s">
        <v>299</v>
      </c>
      <c r="O6">
        <v>0.1</v>
      </c>
      <c r="P6">
        <v>20</v>
      </c>
      <c r="Q6">
        <v>600</v>
      </c>
      <c r="S6" t="s">
        <v>36</v>
      </c>
    </row>
    <row r="7" spans="1:29" x14ac:dyDescent="0.2">
      <c r="A7" t="s">
        <v>0</v>
      </c>
      <c r="B7" s="4" t="s">
        <v>284</v>
      </c>
      <c r="C7" t="s">
        <v>12</v>
      </c>
      <c r="D7" t="str">
        <f t="shared" si="0"/>
        <v>False</v>
      </c>
      <c r="E7" t="str">
        <f t="shared" si="1"/>
        <v>True</v>
      </c>
      <c r="F7" t="s">
        <v>39</v>
      </c>
      <c r="H7" t="s">
        <v>17</v>
      </c>
      <c r="I7" t="s">
        <v>31</v>
      </c>
      <c r="J7">
        <v>70</v>
      </c>
      <c r="K7" t="s">
        <v>25</v>
      </c>
      <c r="L7">
        <v>5.6</v>
      </c>
      <c r="M7">
        <v>5.6</v>
      </c>
      <c r="N7" t="s">
        <v>299</v>
      </c>
      <c r="O7">
        <v>0.1</v>
      </c>
      <c r="P7">
        <v>20</v>
      </c>
      <c r="Q7">
        <v>600</v>
      </c>
      <c r="S7" t="s">
        <v>36</v>
      </c>
    </row>
    <row r="8" spans="1:29" x14ac:dyDescent="0.2">
      <c r="A8" t="s">
        <v>0</v>
      </c>
      <c r="B8" s="4" t="s">
        <v>285</v>
      </c>
      <c r="C8" t="s">
        <v>12</v>
      </c>
      <c r="D8" t="str">
        <f t="shared" si="0"/>
        <v>False</v>
      </c>
      <c r="E8" t="str">
        <f t="shared" si="1"/>
        <v>True</v>
      </c>
      <c r="F8" t="s">
        <v>41</v>
      </c>
      <c r="H8" t="s">
        <v>17</v>
      </c>
      <c r="I8" t="s">
        <v>31</v>
      </c>
      <c r="J8">
        <v>70</v>
      </c>
      <c r="K8" t="s">
        <v>25</v>
      </c>
      <c r="L8">
        <v>5.6</v>
      </c>
      <c r="M8">
        <v>5.6</v>
      </c>
      <c r="N8" t="s">
        <v>299</v>
      </c>
      <c r="O8">
        <v>0.1</v>
      </c>
      <c r="P8">
        <v>20</v>
      </c>
      <c r="Q8">
        <v>600</v>
      </c>
      <c r="S8" t="s">
        <v>40</v>
      </c>
    </row>
    <row r="9" spans="1:29" x14ac:dyDescent="0.2">
      <c r="A9" t="s">
        <v>0</v>
      </c>
      <c r="B9" s="4" t="s">
        <v>286</v>
      </c>
      <c r="C9" t="s">
        <v>12</v>
      </c>
      <c r="D9" t="str">
        <f t="shared" si="0"/>
        <v>False</v>
      </c>
      <c r="E9" t="str">
        <f t="shared" si="1"/>
        <v>True</v>
      </c>
      <c r="F9" t="s">
        <v>42</v>
      </c>
      <c r="H9" t="s">
        <v>17</v>
      </c>
      <c r="I9" t="s">
        <v>31</v>
      </c>
      <c r="J9">
        <v>70</v>
      </c>
      <c r="K9" t="s">
        <v>25</v>
      </c>
      <c r="L9">
        <v>5.6</v>
      </c>
      <c r="M9">
        <v>5.6</v>
      </c>
      <c r="N9" t="s">
        <v>299</v>
      </c>
      <c r="O9">
        <v>0.1</v>
      </c>
      <c r="P9">
        <v>20</v>
      </c>
      <c r="Q9">
        <v>600</v>
      </c>
      <c r="S9" t="s">
        <v>40</v>
      </c>
    </row>
    <row r="10" spans="1:29" x14ac:dyDescent="0.2">
      <c r="A10" t="s">
        <v>0</v>
      </c>
      <c r="B10" s="4" t="s">
        <v>287</v>
      </c>
      <c r="C10" t="s">
        <v>110</v>
      </c>
      <c r="D10" t="str">
        <f t="shared" si="0"/>
        <v>False</v>
      </c>
      <c r="E10" t="str">
        <f t="shared" si="1"/>
        <v>True</v>
      </c>
      <c r="F10" t="s">
        <v>170</v>
      </c>
      <c r="H10" t="s">
        <v>17</v>
      </c>
      <c r="I10" t="s">
        <v>31</v>
      </c>
      <c r="J10">
        <v>70</v>
      </c>
      <c r="K10" t="s">
        <v>25</v>
      </c>
      <c r="L10">
        <v>5.6</v>
      </c>
      <c r="M10">
        <v>5.6</v>
      </c>
      <c r="N10" t="s">
        <v>299</v>
      </c>
      <c r="O10">
        <v>0.1</v>
      </c>
      <c r="P10">
        <v>20</v>
      </c>
      <c r="Q10">
        <v>400</v>
      </c>
      <c r="S10" t="s">
        <v>178</v>
      </c>
    </row>
    <row r="11" spans="1:29" x14ac:dyDescent="0.2">
      <c r="A11" t="s">
        <v>0</v>
      </c>
      <c r="B11" s="4" t="s">
        <v>288</v>
      </c>
      <c r="C11" t="s">
        <v>110</v>
      </c>
      <c r="D11" t="str">
        <f t="shared" si="0"/>
        <v>False</v>
      </c>
      <c r="E11" t="str">
        <f t="shared" si="1"/>
        <v>True</v>
      </c>
      <c r="F11" t="s">
        <v>171</v>
      </c>
      <c r="H11" t="s">
        <v>17</v>
      </c>
      <c r="I11" t="s">
        <v>31</v>
      </c>
      <c r="J11">
        <v>70</v>
      </c>
      <c r="K11" t="s">
        <v>25</v>
      </c>
      <c r="L11">
        <v>5.6</v>
      </c>
      <c r="M11">
        <v>5.6</v>
      </c>
      <c r="N11" t="s">
        <v>299</v>
      </c>
      <c r="O11">
        <v>0.1</v>
      </c>
      <c r="P11">
        <v>20</v>
      </c>
      <c r="Q11">
        <v>400</v>
      </c>
      <c r="S11" t="s">
        <v>179</v>
      </c>
    </row>
    <row r="12" spans="1:29" x14ac:dyDescent="0.2">
      <c r="A12" t="s">
        <v>0</v>
      </c>
      <c r="B12" s="4" t="s">
        <v>289</v>
      </c>
      <c r="C12" t="s">
        <v>110</v>
      </c>
      <c r="D12" t="str">
        <f t="shared" si="0"/>
        <v>False</v>
      </c>
      <c r="E12" t="str">
        <f t="shared" si="1"/>
        <v>True</v>
      </c>
      <c r="F12" t="s">
        <v>172</v>
      </c>
      <c r="H12" t="s">
        <v>17</v>
      </c>
      <c r="I12" t="s">
        <v>31</v>
      </c>
      <c r="J12">
        <v>70</v>
      </c>
      <c r="K12" t="s">
        <v>25</v>
      </c>
      <c r="L12">
        <v>5.6</v>
      </c>
      <c r="M12">
        <v>5.6</v>
      </c>
      <c r="N12" t="s">
        <v>299</v>
      </c>
      <c r="O12">
        <v>0.1</v>
      </c>
      <c r="P12">
        <v>20</v>
      </c>
      <c r="Q12">
        <v>400</v>
      </c>
      <c r="S12" t="s">
        <v>180</v>
      </c>
    </row>
    <row r="13" spans="1:29" x14ac:dyDescent="0.2">
      <c r="A13" t="s">
        <v>0</v>
      </c>
      <c r="B13" s="4" t="s">
        <v>290</v>
      </c>
      <c r="C13" t="s">
        <v>110</v>
      </c>
      <c r="D13" t="str">
        <f t="shared" si="0"/>
        <v>False</v>
      </c>
      <c r="E13" t="str">
        <f t="shared" si="1"/>
        <v>True</v>
      </c>
      <c r="F13" t="s">
        <v>173</v>
      </c>
      <c r="H13" t="s">
        <v>17</v>
      </c>
      <c r="I13" t="s">
        <v>31</v>
      </c>
      <c r="J13">
        <v>70</v>
      </c>
      <c r="K13" t="s">
        <v>25</v>
      </c>
      <c r="L13">
        <v>5.6</v>
      </c>
      <c r="M13">
        <v>5.6</v>
      </c>
      <c r="N13" t="s">
        <v>299</v>
      </c>
      <c r="O13">
        <v>0.1</v>
      </c>
      <c r="P13">
        <v>20</v>
      </c>
      <c r="Q13">
        <v>400</v>
      </c>
      <c r="S13" t="s">
        <v>181</v>
      </c>
    </row>
    <row r="14" spans="1:29" x14ac:dyDescent="0.2">
      <c r="A14" t="s">
        <v>0</v>
      </c>
      <c r="B14" s="4" t="s">
        <v>291</v>
      </c>
      <c r="C14" t="s">
        <v>110</v>
      </c>
      <c r="D14" t="str">
        <f t="shared" si="0"/>
        <v>False</v>
      </c>
      <c r="E14" t="str">
        <f t="shared" si="1"/>
        <v>True</v>
      </c>
      <c r="F14" t="s">
        <v>174</v>
      </c>
      <c r="H14" t="s">
        <v>17</v>
      </c>
      <c r="I14" t="s">
        <v>31</v>
      </c>
      <c r="J14">
        <v>70</v>
      </c>
      <c r="K14" t="s">
        <v>25</v>
      </c>
      <c r="L14">
        <v>5.6</v>
      </c>
      <c r="M14">
        <v>5.6</v>
      </c>
      <c r="N14" t="s">
        <v>299</v>
      </c>
      <c r="O14">
        <v>0.1</v>
      </c>
      <c r="P14">
        <v>20</v>
      </c>
      <c r="Q14">
        <v>400</v>
      </c>
      <c r="S14" t="s">
        <v>182</v>
      </c>
    </row>
    <row r="15" spans="1:29" x14ac:dyDescent="0.2">
      <c r="A15" t="s">
        <v>0</v>
      </c>
      <c r="B15" s="4" t="s">
        <v>292</v>
      </c>
      <c r="C15" t="s">
        <v>110</v>
      </c>
      <c r="D15" t="str">
        <f t="shared" si="0"/>
        <v>False</v>
      </c>
      <c r="E15" t="str">
        <f t="shared" si="1"/>
        <v>True</v>
      </c>
      <c r="F15" t="s">
        <v>175</v>
      </c>
      <c r="H15" t="s">
        <v>17</v>
      </c>
      <c r="I15" t="s">
        <v>31</v>
      </c>
      <c r="J15">
        <v>70</v>
      </c>
      <c r="K15" t="s">
        <v>25</v>
      </c>
      <c r="L15">
        <v>5.6</v>
      </c>
      <c r="M15">
        <v>5.6</v>
      </c>
      <c r="N15" t="s">
        <v>299</v>
      </c>
      <c r="O15">
        <v>0.1</v>
      </c>
      <c r="P15">
        <v>20</v>
      </c>
      <c r="Q15">
        <v>400</v>
      </c>
      <c r="S15" t="s">
        <v>183</v>
      </c>
    </row>
    <row r="16" spans="1:29" x14ac:dyDescent="0.2">
      <c r="A16" t="s">
        <v>0</v>
      </c>
      <c r="B16" s="4" t="s">
        <v>293</v>
      </c>
      <c r="C16" t="s">
        <v>110</v>
      </c>
      <c r="D16" t="str">
        <f t="shared" si="0"/>
        <v>False</v>
      </c>
      <c r="E16" t="str">
        <f t="shared" si="1"/>
        <v>True</v>
      </c>
      <c r="F16" t="s">
        <v>176</v>
      </c>
      <c r="H16" t="s">
        <v>17</v>
      </c>
      <c r="I16" t="s">
        <v>31</v>
      </c>
      <c r="J16">
        <v>70</v>
      </c>
      <c r="K16" t="s">
        <v>25</v>
      </c>
      <c r="L16">
        <v>5.6</v>
      </c>
      <c r="M16">
        <v>5.6</v>
      </c>
      <c r="N16" t="s">
        <v>299</v>
      </c>
      <c r="O16">
        <v>0.1</v>
      </c>
      <c r="P16">
        <v>20</v>
      </c>
      <c r="Q16">
        <v>400</v>
      </c>
      <c r="S16" t="s">
        <v>184</v>
      </c>
    </row>
    <row r="17" spans="1:19" x14ac:dyDescent="0.2">
      <c r="A17" t="s">
        <v>0</v>
      </c>
      <c r="B17" s="4" t="s">
        <v>294</v>
      </c>
      <c r="C17" t="s">
        <v>110</v>
      </c>
      <c r="D17" t="str">
        <f t="shared" si="0"/>
        <v>False</v>
      </c>
      <c r="E17" t="str">
        <f t="shared" si="1"/>
        <v>True</v>
      </c>
      <c r="F17" t="s">
        <v>177</v>
      </c>
      <c r="H17" t="s">
        <v>17</v>
      </c>
      <c r="I17" t="s">
        <v>31</v>
      </c>
      <c r="J17">
        <v>70</v>
      </c>
      <c r="K17" t="s">
        <v>25</v>
      </c>
      <c r="L17">
        <v>5.6</v>
      </c>
      <c r="M17">
        <v>5.6</v>
      </c>
      <c r="N17" t="s">
        <v>299</v>
      </c>
      <c r="O17">
        <v>0.1</v>
      </c>
      <c r="P17">
        <v>20</v>
      </c>
      <c r="Q17">
        <v>400</v>
      </c>
      <c r="S17" t="s">
        <v>185</v>
      </c>
    </row>
    <row r="18" spans="1:19" s="6" customFormat="1" x14ac:dyDescent="0.2">
      <c r="A18" s="6" t="s">
        <v>1</v>
      </c>
      <c r="B18" s="7" t="s">
        <v>267</v>
      </c>
      <c r="C18" s="6" t="s">
        <v>12</v>
      </c>
      <c r="D18" s="6" t="str">
        <f t="shared" si="0"/>
        <v>False</v>
      </c>
      <c r="E18" s="6" t="str">
        <f t="shared" si="1"/>
        <v>True</v>
      </c>
      <c r="F18" s="6" t="s">
        <v>44</v>
      </c>
      <c r="H18" s="6" t="s">
        <v>18</v>
      </c>
      <c r="I18" s="6" t="s">
        <v>31</v>
      </c>
      <c r="J18" s="6">
        <v>70</v>
      </c>
      <c r="K18" s="6" t="s">
        <v>25</v>
      </c>
      <c r="L18">
        <v>5.6</v>
      </c>
      <c r="M18">
        <v>5.6</v>
      </c>
      <c r="N18" t="s">
        <v>299</v>
      </c>
      <c r="O18">
        <v>0.1</v>
      </c>
      <c r="P18" s="6">
        <v>20</v>
      </c>
      <c r="Q18" s="6">
        <v>600</v>
      </c>
      <c r="S18" s="6" t="s">
        <v>43</v>
      </c>
    </row>
    <row r="19" spans="1:19" s="6" customFormat="1" x14ac:dyDescent="0.2">
      <c r="A19" s="6" t="s">
        <v>1</v>
      </c>
      <c r="B19" s="7" t="s">
        <v>268</v>
      </c>
      <c r="C19" s="6" t="s">
        <v>12</v>
      </c>
      <c r="D19" s="6" t="str">
        <f t="shared" si="0"/>
        <v>False</v>
      </c>
      <c r="E19" s="6" t="str">
        <f t="shared" si="1"/>
        <v>True</v>
      </c>
      <c r="F19" s="6" t="s">
        <v>45</v>
      </c>
      <c r="H19" s="6" t="s">
        <v>18</v>
      </c>
      <c r="I19" s="6" t="s">
        <v>31</v>
      </c>
      <c r="J19" s="6">
        <v>70</v>
      </c>
      <c r="K19" s="6" t="s">
        <v>25</v>
      </c>
      <c r="L19">
        <v>5.6</v>
      </c>
      <c r="M19">
        <v>5.6</v>
      </c>
      <c r="N19" t="s">
        <v>299</v>
      </c>
      <c r="O19">
        <v>0.1</v>
      </c>
      <c r="P19" s="6">
        <v>20</v>
      </c>
      <c r="Q19" s="6">
        <v>600</v>
      </c>
      <c r="S19" s="6" t="s">
        <v>43</v>
      </c>
    </row>
    <row r="20" spans="1:19" s="6" customFormat="1" x14ac:dyDescent="0.2">
      <c r="A20" s="6" t="s">
        <v>1</v>
      </c>
      <c r="B20" s="7" t="s">
        <v>269</v>
      </c>
      <c r="C20" s="6" t="s">
        <v>12</v>
      </c>
      <c r="D20" s="6" t="str">
        <f t="shared" si="0"/>
        <v>False</v>
      </c>
      <c r="E20" s="6" t="str">
        <f t="shared" si="1"/>
        <v>True</v>
      </c>
      <c r="F20" s="6" t="s">
        <v>47</v>
      </c>
      <c r="H20" s="6" t="s">
        <v>18</v>
      </c>
      <c r="I20" s="6" t="s">
        <v>31</v>
      </c>
      <c r="J20" s="6">
        <v>70</v>
      </c>
      <c r="K20" s="6" t="s">
        <v>25</v>
      </c>
      <c r="L20">
        <v>5.6</v>
      </c>
      <c r="M20">
        <v>5.6</v>
      </c>
      <c r="N20" t="s">
        <v>299</v>
      </c>
      <c r="O20">
        <v>0.1</v>
      </c>
      <c r="P20" s="6">
        <v>20</v>
      </c>
      <c r="Q20" s="6">
        <v>600</v>
      </c>
      <c r="S20" s="6" t="s">
        <v>46</v>
      </c>
    </row>
    <row r="21" spans="1:19" s="6" customFormat="1" x14ac:dyDescent="0.2">
      <c r="A21" s="6" t="s">
        <v>1</v>
      </c>
      <c r="B21" s="7" t="s">
        <v>270</v>
      </c>
      <c r="C21" s="6" t="s">
        <v>12</v>
      </c>
      <c r="D21" s="6" t="str">
        <f t="shared" si="0"/>
        <v>False</v>
      </c>
      <c r="E21" s="6" t="str">
        <f t="shared" si="1"/>
        <v>True</v>
      </c>
      <c r="F21" s="6" t="s">
        <v>48</v>
      </c>
      <c r="H21" s="6" t="s">
        <v>18</v>
      </c>
      <c r="I21" s="6" t="s">
        <v>31</v>
      </c>
      <c r="J21" s="6">
        <v>70</v>
      </c>
      <c r="K21" s="6" t="s">
        <v>25</v>
      </c>
      <c r="L21">
        <v>5.6</v>
      </c>
      <c r="M21">
        <v>5.6</v>
      </c>
      <c r="N21" t="s">
        <v>299</v>
      </c>
      <c r="O21">
        <v>0.1</v>
      </c>
      <c r="P21" s="6">
        <v>20</v>
      </c>
      <c r="Q21" s="6">
        <v>600</v>
      </c>
      <c r="S21" s="6" t="s">
        <v>46</v>
      </c>
    </row>
    <row r="22" spans="1:19" s="6" customFormat="1" x14ac:dyDescent="0.2">
      <c r="A22" s="6" t="s">
        <v>1</v>
      </c>
      <c r="B22" s="7" t="s">
        <v>271</v>
      </c>
      <c r="C22" s="6" t="s">
        <v>12</v>
      </c>
      <c r="D22" s="6" t="str">
        <f t="shared" si="0"/>
        <v>False</v>
      </c>
      <c r="E22" s="6" t="str">
        <f t="shared" si="1"/>
        <v>True</v>
      </c>
      <c r="F22" s="6" t="s">
        <v>50</v>
      </c>
      <c r="H22" s="6" t="s">
        <v>18</v>
      </c>
      <c r="I22" s="6" t="s">
        <v>31</v>
      </c>
      <c r="J22" s="6">
        <v>70</v>
      </c>
      <c r="K22" s="6" t="s">
        <v>25</v>
      </c>
      <c r="L22">
        <v>5.6</v>
      </c>
      <c r="M22">
        <v>5.6</v>
      </c>
      <c r="N22" t="s">
        <v>299</v>
      </c>
      <c r="O22">
        <v>0.1</v>
      </c>
      <c r="P22" s="6">
        <v>20</v>
      </c>
      <c r="Q22" s="6">
        <v>600</v>
      </c>
      <c r="S22" s="6" t="s">
        <v>49</v>
      </c>
    </row>
    <row r="23" spans="1:19" s="6" customFormat="1" x14ac:dyDescent="0.2">
      <c r="A23" s="6" t="s">
        <v>1</v>
      </c>
      <c r="B23" s="7" t="s">
        <v>272</v>
      </c>
      <c r="C23" s="6" t="s">
        <v>12</v>
      </c>
      <c r="D23" s="6" t="str">
        <f t="shared" si="0"/>
        <v>False</v>
      </c>
      <c r="E23" s="6" t="str">
        <f t="shared" si="1"/>
        <v>True</v>
      </c>
      <c r="F23" s="6" t="s">
        <v>51</v>
      </c>
      <c r="H23" s="6" t="s">
        <v>18</v>
      </c>
      <c r="I23" s="6" t="s">
        <v>31</v>
      </c>
      <c r="J23" s="6">
        <v>70</v>
      </c>
      <c r="K23" s="6" t="s">
        <v>25</v>
      </c>
      <c r="L23">
        <v>5.6</v>
      </c>
      <c r="M23">
        <v>5.6</v>
      </c>
      <c r="N23" t="s">
        <v>299</v>
      </c>
      <c r="O23">
        <v>0.1</v>
      </c>
      <c r="P23" s="6">
        <v>20</v>
      </c>
      <c r="Q23" s="6">
        <v>600</v>
      </c>
      <c r="S23" s="6" t="s">
        <v>49</v>
      </c>
    </row>
    <row r="24" spans="1:19" s="6" customFormat="1" x14ac:dyDescent="0.2">
      <c r="A24" s="6" t="s">
        <v>1</v>
      </c>
      <c r="B24" s="7" t="s">
        <v>273</v>
      </c>
      <c r="C24" s="6" t="s">
        <v>110</v>
      </c>
      <c r="D24" s="6" t="str">
        <f t="shared" si="0"/>
        <v>False</v>
      </c>
      <c r="E24" s="6" t="str">
        <f t="shared" si="1"/>
        <v>True</v>
      </c>
      <c r="F24" s="6" t="s">
        <v>164</v>
      </c>
      <c r="H24" s="6" t="s">
        <v>18</v>
      </c>
      <c r="I24" s="6" t="s">
        <v>31</v>
      </c>
      <c r="J24" s="6">
        <v>70</v>
      </c>
      <c r="K24" s="6" t="s">
        <v>25</v>
      </c>
      <c r="L24">
        <v>5.6</v>
      </c>
      <c r="M24">
        <v>5.6</v>
      </c>
      <c r="N24" t="s">
        <v>299</v>
      </c>
      <c r="O24">
        <v>0.1</v>
      </c>
      <c r="P24" s="6">
        <v>20</v>
      </c>
      <c r="Q24" s="6">
        <v>400</v>
      </c>
      <c r="S24" s="6" t="s">
        <v>158</v>
      </c>
    </row>
    <row r="25" spans="1:19" s="6" customFormat="1" x14ac:dyDescent="0.2">
      <c r="A25" s="6" t="s">
        <v>1</v>
      </c>
      <c r="B25" s="7" t="s">
        <v>274</v>
      </c>
      <c r="C25" s="6" t="s">
        <v>110</v>
      </c>
      <c r="D25" s="6" t="str">
        <f t="shared" si="0"/>
        <v>False</v>
      </c>
      <c r="E25" s="6" t="str">
        <f t="shared" si="1"/>
        <v>True</v>
      </c>
      <c r="F25" s="6" t="s">
        <v>165</v>
      </c>
      <c r="H25" s="6" t="s">
        <v>18</v>
      </c>
      <c r="I25" s="6" t="s">
        <v>31</v>
      </c>
      <c r="J25" s="6">
        <v>70</v>
      </c>
      <c r="K25" s="6" t="s">
        <v>25</v>
      </c>
      <c r="L25">
        <v>5.6</v>
      </c>
      <c r="M25">
        <v>5.6</v>
      </c>
      <c r="N25" t="s">
        <v>299</v>
      </c>
      <c r="O25">
        <v>0.1</v>
      </c>
      <c r="P25" s="6">
        <v>20</v>
      </c>
      <c r="Q25" s="6">
        <v>400</v>
      </c>
      <c r="S25" s="6" t="s">
        <v>159</v>
      </c>
    </row>
    <row r="26" spans="1:19" s="6" customFormat="1" x14ac:dyDescent="0.2">
      <c r="A26" s="6" t="s">
        <v>1</v>
      </c>
      <c r="B26" s="7" t="s">
        <v>275</v>
      </c>
      <c r="C26" s="6" t="s">
        <v>110</v>
      </c>
      <c r="D26" s="6" t="str">
        <f t="shared" si="0"/>
        <v>False</v>
      </c>
      <c r="E26" s="6" t="str">
        <f t="shared" si="1"/>
        <v>True</v>
      </c>
      <c r="F26" s="6" t="s">
        <v>166</v>
      </c>
      <c r="H26" s="6" t="s">
        <v>18</v>
      </c>
      <c r="I26" s="6" t="s">
        <v>31</v>
      </c>
      <c r="J26" s="6">
        <v>70</v>
      </c>
      <c r="K26" s="6" t="s">
        <v>25</v>
      </c>
      <c r="L26">
        <v>5.6</v>
      </c>
      <c r="M26">
        <v>5.6</v>
      </c>
      <c r="N26" t="s">
        <v>299</v>
      </c>
      <c r="O26">
        <v>0.1</v>
      </c>
      <c r="P26" s="6">
        <v>20</v>
      </c>
      <c r="Q26" s="6">
        <v>400</v>
      </c>
      <c r="S26" s="6" t="s">
        <v>160</v>
      </c>
    </row>
    <row r="27" spans="1:19" s="6" customFormat="1" x14ac:dyDescent="0.2">
      <c r="A27" s="6" t="s">
        <v>1</v>
      </c>
      <c r="B27" s="7" t="s">
        <v>276</v>
      </c>
      <c r="C27" s="6" t="s">
        <v>110</v>
      </c>
      <c r="D27" s="6" t="str">
        <f t="shared" si="0"/>
        <v>False</v>
      </c>
      <c r="E27" s="6" t="str">
        <f t="shared" si="1"/>
        <v>True</v>
      </c>
      <c r="F27" s="6" t="s">
        <v>167</v>
      </c>
      <c r="H27" s="6" t="s">
        <v>18</v>
      </c>
      <c r="I27" s="6" t="s">
        <v>31</v>
      </c>
      <c r="J27" s="6">
        <v>70</v>
      </c>
      <c r="K27" s="6" t="s">
        <v>25</v>
      </c>
      <c r="L27">
        <v>5.6</v>
      </c>
      <c r="M27">
        <v>5.6</v>
      </c>
      <c r="N27" t="s">
        <v>299</v>
      </c>
      <c r="O27">
        <v>0.1</v>
      </c>
      <c r="P27" s="6">
        <v>20</v>
      </c>
      <c r="Q27" s="6">
        <v>400</v>
      </c>
      <c r="S27" s="6" t="s">
        <v>161</v>
      </c>
    </row>
    <row r="28" spans="1:19" s="6" customFormat="1" x14ac:dyDescent="0.2">
      <c r="A28" s="6" t="s">
        <v>1</v>
      </c>
      <c r="B28" s="7" t="s">
        <v>277</v>
      </c>
      <c r="C28" s="6" t="s">
        <v>110</v>
      </c>
      <c r="D28" s="6" t="str">
        <f t="shared" si="0"/>
        <v>False</v>
      </c>
      <c r="E28" s="6" t="str">
        <f t="shared" si="1"/>
        <v>True</v>
      </c>
      <c r="F28" s="6" t="s">
        <v>168</v>
      </c>
      <c r="H28" s="6" t="s">
        <v>18</v>
      </c>
      <c r="I28" s="6" t="s">
        <v>31</v>
      </c>
      <c r="J28" s="6">
        <v>70</v>
      </c>
      <c r="K28" s="6" t="s">
        <v>25</v>
      </c>
      <c r="L28">
        <v>5.6</v>
      </c>
      <c r="M28">
        <v>5.6</v>
      </c>
      <c r="N28" t="s">
        <v>299</v>
      </c>
      <c r="O28">
        <v>0.1</v>
      </c>
      <c r="P28" s="6">
        <v>20</v>
      </c>
      <c r="Q28" s="6">
        <v>400</v>
      </c>
      <c r="S28" s="6" t="s">
        <v>162</v>
      </c>
    </row>
    <row r="29" spans="1:19" s="6" customFormat="1" x14ac:dyDescent="0.2">
      <c r="A29" s="6" t="s">
        <v>1</v>
      </c>
      <c r="B29" s="7" t="s">
        <v>278</v>
      </c>
      <c r="C29" s="6" t="s">
        <v>110</v>
      </c>
      <c r="D29" s="6" t="str">
        <f t="shared" si="0"/>
        <v>False</v>
      </c>
      <c r="E29" s="6" t="str">
        <f t="shared" si="1"/>
        <v>True</v>
      </c>
      <c r="F29" s="6" t="s">
        <v>169</v>
      </c>
      <c r="H29" s="6" t="s">
        <v>18</v>
      </c>
      <c r="I29" s="6" t="s">
        <v>31</v>
      </c>
      <c r="J29" s="6">
        <v>70</v>
      </c>
      <c r="K29" s="6" t="s">
        <v>25</v>
      </c>
      <c r="L29">
        <v>5.6</v>
      </c>
      <c r="M29">
        <v>5.6</v>
      </c>
      <c r="N29" t="s">
        <v>299</v>
      </c>
      <c r="O29">
        <v>0.1</v>
      </c>
      <c r="P29" s="6">
        <v>20</v>
      </c>
      <c r="Q29" s="6">
        <v>400</v>
      </c>
      <c r="S29" s="6" t="s">
        <v>163</v>
      </c>
    </row>
    <row r="30" spans="1:19" x14ac:dyDescent="0.2">
      <c r="A30" t="s">
        <v>2</v>
      </c>
      <c r="B30" s="4" t="s">
        <v>255</v>
      </c>
      <c r="C30" t="s">
        <v>12</v>
      </c>
      <c r="D30" t="str">
        <f t="shared" si="0"/>
        <v>False</v>
      </c>
      <c r="E30" t="str">
        <f t="shared" si="1"/>
        <v>True</v>
      </c>
      <c r="F30" t="s">
        <v>52</v>
      </c>
      <c r="H30" t="s">
        <v>19</v>
      </c>
      <c r="I30" t="s">
        <v>31</v>
      </c>
      <c r="J30">
        <v>70</v>
      </c>
      <c r="K30" t="s">
        <v>25</v>
      </c>
      <c r="L30">
        <v>5.6</v>
      </c>
      <c r="M30">
        <v>5.6</v>
      </c>
      <c r="N30" t="s">
        <v>299</v>
      </c>
      <c r="O30">
        <v>0.1</v>
      </c>
      <c r="P30">
        <v>20</v>
      </c>
      <c r="Q30">
        <v>600</v>
      </c>
      <c r="S30" t="s">
        <v>53</v>
      </c>
    </row>
    <row r="31" spans="1:19" x14ac:dyDescent="0.2">
      <c r="A31" t="s">
        <v>2</v>
      </c>
      <c r="B31" s="4" t="s">
        <v>256</v>
      </c>
      <c r="C31" t="s">
        <v>12</v>
      </c>
      <c r="D31" t="str">
        <f t="shared" si="0"/>
        <v>False</v>
      </c>
      <c r="E31" t="str">
        <f t="shared" si="1"/>
        <v>True</v>
      </c>
      <c r="F31" t="s">
        <v>55</v>
      </c>
      <c r="H31" t="s">
        <v>19</v>
      </c>
      <c r="I31" t="s">
        <v>31</v>
      </c>
      <c r="J31">
        <v>70</v>
      </c>
      <c r="K31" t="s">
        <v>25</v>
      </c>
      <c r="L31">
        <v>5.6</v>
      </c>
      <c r="M31">
        <v>5.6</v>
      </c>
      <c r="N31" t="s">
        <v>299</v>
      </c>
      <c r="O31">
        <v>0.1</v>
      </c>
      <c r="P31">
        <v>20</v>
      </c>
      <c r="Q31">
        <v>600</v>
      </c>
      <c r="S31" t="s">
        <v>53</v>
      </c>
    </row>
    <row r="32" spans="1:19" x14ac:dyDescent="0.2">
      <c r="A32" t="s">
        <v>2</v>
      </c>
      <c r="B32" s="4" t="s">
        <v>257</v>
      </c>
      <c r="C32" t="s">
        <v>12</v>
      </c>
      <c r="D32" t="str">
        <f t="shared" si="0"/>
        <v>False</v>
      </c>
      <c r="E32" t="str">
        <f t="shared" si="1"/>
        <v>True</v>
      </c>
      <c r="F32" t="s">
        <v>54</v>
      </c>
      <c r="H32" t="s">
        <v>19</v>
      </c>
      <c r="I32" t="s">
        <v>31</v>
      </c>
      <c r="J32">
        <v>70</v>
      </c>
      <c r="K32" t="s">
        <v>25</v>
      </c>
      <c r="L32">
        <v>5.6</v>
      </c>
      <c r="M32">
        <v>5.6</v>
      </c>
      <c r="N32" t="s">
        <v>299</v>
      </c>
      <c r="O32">
        <v>0.1</v>
      </c>
      <c r="P32">
        <v>20</v>
      </c>
      <c r="Q32">
        <v>600</v>
      </c>
      <c r="S32" t="s">
        <v>53</v>
      </c>
    </row>
    <row r="33" spans="1:19" x14ac:dyDescent="0.2">
      <c r="A33" t="s">
        <v>2</v>
      </c>
      <c r="B33" s="4" t="s">
        <v>258</v>
      </c>
      <c r="C33" t="s">
        <v>12</v>
      </c>
      <c r="D33" t="str">
        <f t="shared" si="0"/>
        <v>False</v>
      </c>
      <c r="E33" t="str">
        <f t="shared" si="1"/>
        <v>True</v>
      </c>
      <c r="F33" t="s">
        <v>56</v>
      </c>
      <c r="H33" t="s">
        <v>19</v>
      </c>
      <c r="I33" t="s">
        <v>31</v>
      </c>
      <c r="J33">
        <v>70</v>
      </c>
      <c r="K33" t="s">
        <v>25</v>
      </c>
      <c r="L33">
        <v>5.6</v>
      </c>
      <c r="M33">
        <v>5.6</v>
      </c>
      <c r="N33" t="s">
        <v>299</v>
      </c>
      <c r="O33">
        <v>0.1</v>
      </c>
      <c r="P33">
        <v>20</v>
      </c>
      <c r="Q33">
        <v>600</v>
      </c>
      <c r="S33" t="s">
        <v>57</v>
      </c>
    </row>
    <row r="34" spans="1:19" x14ac:dyDescent="0.2">
      <c r="A34" t="s">
        <v>2</v>
      </c>
      <c r="B34" s="4" t="s">
        <v>259</v>
      </c>
      <c r="C34" t="s">
        <v>12</v>
      </c>
      <c r="D34" t="str">
        <f t="shared" si="0"/>
        <v>False</v>
      </c>
      <c r="E34" t="str">
        <f t="shared" si="1"/>
        <v>True</v>
      </c>
      <c r="F34" t="s">
        <v>58</v>
      </c>
      <c r="H34" t="s">
        <v>19</v>
      </c>
      <c r="I34" t="s">
        <v>31</v>
      </c>
      <c r="J34">
        <v>70</v>
      </c>
      <c r="K34" t="s">
        <v>25</v>
      </c>
      <c r="L34">
        <v>5.6</v>
      </c>
      <c r="M34">
        <v>5.6</v>
      </c>
      <c r="N34" t="s">
        <v>299</v>
      </c>
      <c r="O34">
        <v>0.1</v>
      </c>
      <c r="P34">
        <v>20</v>
      </c>
      <c r="Q34">
        <v>600</v>
      </c>
      <c r="S34" t="s">
        <v>60</v>
      </c>
    </row>
    <row r="35" spans="1:19" x14ac:dyDescent="0.2">
      <c r="A35" t="s">
        <v>2</v>
      </c>
      <c r="B35" s="4" t="s">
        <v>260</v>
      </c>
      <c r="C35" t="s">
        <v>12</v>
      </c>
      <c r="D35" t="str">
        <f t="shared" si="0"/>
        <v>False</v>
      </c>
      <c r="E35" t="str">
        <f t="shared" si="1"/>
        <v>True</v>
      </c>
      <c r="F35" t="s">
        <v>59</v>
      </c>
      <c r="H35" t="s">
        <v>19</v>
      </c>
      <c r="I35" t="s">
        <v>31</v>
      </c>
      <c r="J35">
        <v>70</v>
      </c>
      <c r="K35" t="s">
        <v>25</v>
      </c>
      <c r="L35">
        <v>5.6</v>
      </c>
      <c r="M35">
        <v>5.6</v>
      </c>
      <c r="N35" t="s">
        <v>299</v>
      </c>
      <c r="O35">
        <v>0.1</v>
      </c>
      <c r="P35">
        <v>20</v>
      </c>
      <c r="Q35">
        <v>600</v>
      </c>
      <c r="S35" t="s">
        <v>60</v>
      </c>
    </row>
    <row r="36" spans="1:19" x14ac:dyDescent="0.2">
      <c r="A36" t="s">
        <v>2</v>
      </c>
      <c r="B36" s="4" t="s">
        <v>261</v>
      </c>
      <c r="C36" t="s">
        <v>110</v>
      </c>
      <c r="D36" t="str">
        <f t="shared" si="0"/>
        <v>False</v>
      </c>
      <c r="E36" t="str">
        <f t="shared" si="1"/>
        <v>True</v>
      </c>
      <c r="F36" t="s">
        <v>186</v>
      </c>
      <c r="H36" t="s">
        <v>19</v>
      </c>
      <c r="I36" t="s">
        <v>31</v>
      </c>
      <c r="J36">
        <v>70</v>
      </c>
      <c r="K36" t="s">
        <v>25</v>
      </c>
      <c r="L36">
        <v>5.6</v>
      </c>
      <c r="M36">
        <v>5.6</v>
      </c>
      <c r="N36" t="s">
        <v>299</v>
      </c>
      <c r="O36">
        <v>0.1</v>
      </c>
      <c r="P36">
        <v>20</v>
      </c>
      <c r="Q36">
        <v>400</v>
      </c>
      <c r="S36" t="s">
        <v>152</v>
      </c>
    </row>
    <row r="37" spans="1:19" x14ac:dyDescent="0.2">
      <c r="A37" t="s">
        <v>2</v>
      </c>
      <c r="B37" s="4" t="s">
        <v>262</v>
      </c>
      <c r="C37" t="s">
        <v>110</v>
      </c>
      <c r="D37" t="str">
        <f t="shared" si="0"/>
        <v>False</v>
      </c>
      <c r="E37" t="str">
        <f t="shared" si="1"/>
        <v>True</v>
      </c>
      <c r="F37" t="s">
        <v>187</v>
      </c>
      <c r="H37" t="s">
        <v>19</v>
      </c>
      <c r="I37" t="s">
        <v>31</v>
      </c>
      <c r="J37">
        <v>70</v>
      </c>
      <c r="K37" t="s">
        <v>25</v>
      </c>
      <c r="L37">
        <v>5.6</v>
      </c>
      <c r="M37">
        <v>5.6</v>
      </c>
      <c r="N37" t="s">
        <v>299</v>
      </c>
      <c r="O37">
        <v>0.1</v>
      </c>
      <c r="P37">
        <v>20</v>
      </c>
      <c r="Q37">
        <v>400</v>
      </c>
      <c r="S37" t="s">
        <v>153</v>
      </c>
    </row>
    <row r="38" spans="1:19" x14ac:dyDescent="0.2">
      <c r="A38" t="s">
        <v>2</v>
      </c>
      <c r="B38" s="4" t="s">
        <v>263</v>
      </c>
      <c r="C38" t="s">
        <v>110</v>
      </c>
      <c r="D38" t="str">
        <f t="shared" si="0"/>
        <v>False</v>
      </c>
      <c r="E38" t="str">
        <f t="shared" si="1"/>
        <v>True</v>
      </c>
      <c r="F38" t="s">
        <v>188</v>
      </c>
      <c r="H38" t="s">
        <v>19</v>
      </c>
      <c r="I38" t="s">
        <v>31</v>
      </c>
      <c r="J38">
        <v>70</v>
      </c>
      <c r="K38" t="s">
        <v>25</v>
      </c>
      <c r="L38">
        <v>5.6</v>
      </c>
      <c r="M38">
        <v>5.6</v>
      </c>
      <c r="N38" t="s">
        <v>299</v>
      </c>
      <c r="O38">
        <v>0.1</v>
      </c>
      <c r="P38">
        <v>20</v>
      </c>
      <c r="Q38">
        <v>400</v>
      </c>
      <c r="S38" t="s">
        <v>154</v>
      </c>
    </row>
    <row r="39" spans="1:19" x14ac:dyDescent="0.2">
      <c r="A39" t="s">
        <v>2</v>
      </c>
      <c r="B39" s="4" t="s">
        <v>264</v>
      </c>
      <c r="C39" t="s">
        <v>110</v>
      </c>
      <c r="D39" t="str">
        <f t="shared" si="0"/>
        <v>False</v>
      </c>
      <c r="E39" t="str">
        <f t="shared" si="1"/>
        <v>True</v>
      </c>
      <c r="F39" t="s">
        <v>189</v>
      </c>
      <c r="H39" t="s">
        <v>19</v>
      </c>
      <c r="I39" t="s">
        <v>31</v>
      </c>
      <c r="J39">
        <v>70</v>
      </c>
      <c r="K39" t="s">
        <v>25</v>
      </c>
      <c r="L39">
        <v>5.6</v>
      </c>
      <c r="M39">
        <v>5.6</v>
      </c>
      <c r="N39" t="s">
        <v>299</v>
      </c>
      <c r="O39">
        <v>0.1</v>
      </c>
      <c r="P39">
        <v>20</v>
      </c>
      <c r="Q39">
        <v>400</v>
      </c>
      <c r="S39" t="s">
        <v>155</v>
      </c>
    </row>
    <row r="40" spans="1:19" x14ac:dyDescent="0.2">
      <c r="A40" t="s">
        <v>2</v>
      </c>
      <c r="B40" s="4" t="s">
        <v>265</v>
      </c>
      <c r="C40" t="s">
        <v>110</v>
      </c>
      <c r="D40" t="str">
        <f t="shared" si="0"/>
        <v>False</v>
      </c>
      <c r="E40" t="str">
        <f t="shared" si="1"/>
        <v>True</v>
      </c>
      <c r="F40" t="s">
        <v>190</v>
      </c>
      <c r="H40" t="s">
        <v>19</v>
      </c>
      <c r="I40" t="s">
        <v>31</v>
      </c>
      <c r="J40">
        <v>70</v>
      </c>
      <c r="K40" t="s">
        <v>25</v>
      </c>
      <c r="L40">
        <v>5.6</v>
      </c>
      <c r="M40">
        <v>5.6</v>
      </c>
      <c r="N40" t="s">
        <v>299</v>
      </c>
      <c r="O40">
        <v>0.1</v>
      </c>
      <c r="P40">
        <v>20</v>
      </c>
      <c r="Q40">
        <v>400</v>
      </c>
      <c r="S40" t="s">
        <v>156</v>
      </c>
    </row>
    <row r="41" spans="1:19" x14ac:dyDescent="0.2">
      <c r="A41" t="s">
        <v>2</v>
      </c>
      <c r="B41" s="4" t="s">
        <v>266</v>
      </c>
      <c r="C41" t="s">
        <v>110</v>
      </c>
      <c r="D41" t="str">
        <f t="shared" si="0"/>
        <v>False</v>
      </c>
      <c r="E41" t="str">
        <f t="shared" si="1"/>
        <v>True</v>
      </c>
      <c r="F41" t="s">
        <v>191</v>
      </c>
      <c r="H41" t="s">
        <v>19</v>
      </c>
      <c r="I41" t="s">
        <v>31</v>
      </c>
      <c r="J41">
        <v>70</v>
      </c>
      <c r="K41" t="s">
        <v>25</v>
      </c>
      <c r="L41">
        <v>5.6</v>
      </c>
      <c r="M41">
        <v>5.6</v>
      </c>
      <c r="N41" t="s">
        <v>299</v>
      </c>
      <c r="O41">
        <v>0.1</v>
      </c>
      <c r="P41">
        <v>20</v>
      </c>
      <c r="Q41">
        <v>400</v>
      </c>
      <c r="S41" t="s">
        <v>157</v>
      </c>
    </row>
    <row r="42" spans="1:19" s="6" customFormat="1" x14ac:dyDescent="0.2">
      <c r="A42" s="6" t="s">
        <v>3</v>
      </c>
      <c r="B42" s="7" t="s">
        <v>243</v>
      </c>
      <c r="C42" s="6" t="s">
        <v>12</v>
      </c>
      <c r="D42" s="6" t="str">
        <f t="shared" si="0"/>
        <v>False</v>
      </c>
      <c r="E42" s="6" t="str">
        <f t="shared" si="1"/>
        <v>True</v>
      </c>
      <c r="F42" s="6" t="s">
        <v>63</v>
      </c>
      <c r="H42" s="6" t="s">
        <v>20</v>
      </c>
      <c r="I42" s="6" t="s">
        <v>31</v>
      </c>
      <c r="J42" s="6">
        <v>70</v>
      </c>
      <c r="K42" s="6" t="s">
        <v>25</v>
      </c>
      <c r="L42">
        <v>5.6</v>
      </c>
      <c r="M42">
        <v>5.6</v>
      </c>
      <c r="N42" t="s">
        <v>299</v>
      </c>
      <c r="O42">
        <v>0.1</v>
      </c>
      <c r="P42" s="6">
        <v>20</v>
      </c>
      <c r="Q42" s="6">
        <v>500</v>
      </c>
      <c r="S42" s="6" t="s">
        <v>61</v>
      </c>
    </row>
    <row r="43" spans="1:19" s="6" customFormat="1" x14ac:dyDescent="0.2">
      <c r="A43" s="6" t="s">
        <v>3</v>
      </c>
      <c r="B43" s="7" t="s">
        <v>244</v>
      </c>
      <c r="C43" s="6" t="s">
        <v>12</v>
      </c>
      <c r="D43" s="6" t="str">
        <f t="shared" si="0"/>
        <v>False</v>
      </c>
      <c r="E43" s="6" t="str">
        <f t="shared" si="1"/>
        <v>True</v>
      </c>
      <c r="F43" s="6" t="s">
        <v>62</v>
      </c>
      <c r="H43" s="6" t="s">
        <v>20</v>
      </c>
      <c r="I43" s="6" t="s">
        <v>31</v>
      </c>
      <c r="J43" s="6">
        <v>70</v>
      </c>
      <c r="K43" s="6" t="s">
        <v>25</v>
      </c>
      <c r="L43">
        <v>5.6</v>
      </c>
      <c r="M43">
        <v>5.6</v>
      </c>
      <c r="N43" t="s">
        <v>299</v>
      </c>
      <c r="O43">
        <v>0.1</v>
      </c>
      <c r="P43" s="6">
        <v>20</v>
      </c>
      <c r="Q43" s="6">
        <v>500</v>
      </c>
      <c r="S43" s="6" t="s">
        <v>61</v>
      </c>
    </row>
    <row r="44" spans="1:19" s="6" customFormat="1" x14ac:dyDescent="0.2">
      <c r="A44" s="6" t="s">
        <v>3</v>
      </c>
      <c r="B44" s="7" t="s">
        <v>245</v>
      </c>
      <c r="C44" s="6" t="s">
        <v>12</v>
      </c>
      <c r="D44" s="6" t="str">
        <f t="shared" si="0"/>
        <v>False</v>
      </c>
      <c r="E44" s="6" t="str">
        <f t="shared" si="1"/>
        <v>True</v>
      </c>
      <c r="F44" s="6" t="s">
        <v>64</v>
      </c>
      <c r="H44" s="6" t="s">
        <v>20</v>
      </c>
      <c r="I44" s="6" t="s">
        <v>31</v>
      </c>
      <c r="J44" s="6">
        <v>70</v>
      </c>
      <c r="K44" s="6" t="s">
        <v>25</v>
      </c>
      <c r="L44">
        <v>5.6</v>
      </c>
      <c r="M44">
        <v>5.6</v>
      </c>
      <c r="N44" t="s">
        <v>299</v>
      </c>
      <c r="O44">
        <v>0.1</v>
      </c>
      <c r="P44" s="6">
        <v>20</v>
      </c>
      <c r="Q44" s="6">
        <v>500</v>
      </c>
      <c r="S44" s="6" t="s">
        <v>65</v>
      </c>
    </row>
    <row r="45" spans="1:19" s="6" customFormat="1" x14ac:dyDescent="0.2">
      <c r="A45" s="6" t="s">
        <v>3</v>
      </c>
      <c r="B45" s="7" t="s">
        <v>246</v>
      </c>
      <c r="C45" s="6" t="s">
        <v>12</v>
      </c>
      <c r="D45" s="6" t="str">
        <f t="shared" si="0"/>
        <v>False</v>
      </c>
      <c r="E45" s="6" t="str">
        <f t="shared" si="1"/>
        <v>True</v>
      </c>
      <c r="F45" s="6" t="s">
        <v>66</v>
      </c>
      <c r="H45" s="6" t="s">
        <v>20</v>
      </c>
      <c r="I45" s="6" t="s">
        <v>31</v>
      </c>
      <c r="J45" s="6">
        <v>70</v>
      </c>
      <c r="K45" s="6" t="s">
        <v>25</v>
      </c>
      <c r="L45">
        <v>5.6</v>
      </c>
      <c r="M45">
        <v>5.6</v>
      </c>
      <c r="N45" t="s">
        <v>299</v>
      </c>
      <c r="O45">
        <v>0.1</v>
      </c>
      <c r="P45" s="6">
        <v>20</v>
      </c>
      <c r="Q45" s="6">
        <v>500</v>
      </c>
      <c r="S45" s="6" t="s">
        <v>65</v>
      </c>
    </row>
    <row r="46" spans="1:19" s="6" customFormat="1" x14ac:dyDescent="0.2">
      <c r="A46" s="6" t="s">
        <v>3</v>
      </c>
      <c r="B46" s="7" t="s">
        <v>247</v>
      </c>
      <c r="C46" s="6" t="s">
        <v>12</v>
      </c>
      <c r="D46" s="6" t="str">
        <f t="shared" si="0"/>
        <v>False</v>
      </c>
      <c r="E46" s="6" t="str">
        <f t="shared" si="1"/>
        <v>True</v>
      </c>
      <c r="F46" s="6" t="s">
        <v>67</v>
      </c>
      <c r="H46" s="6" t="s">
        <v>20</v>
      </c>
      <c r="I46" s="6" t="s">
        <v>31</v>
      </c>
      <c r="J46" s="6">
        <v>70</v>
      </c>
      <c r="K46" s="6" t="s">
        <v>25</v>
      </c>
      <c r="L46">
        <v>5.6</v>
      </c>
      <c r="M46">
        <v>5.6</v>
      </c>
      <c r="N46" t="s">
        <v>299</v>
      </c>
      <c r="O46">
        <v>0.1</v>
      </c>
      <c r="P46" s="6">
        <v>20</v>
      </c>
      <c r="Q46" s="6">
        <v>500</v>
      </c>
      <c r="S46" s="6" t="s">
        <v>65</v>
      </c>
    </row>
    <row r="47" spans="1:19" s="6" customFormat="1" x14ac:dyDescent="0.2">
      <c r="A47" s="6" t="s">
        <v>3</v>
      </c>
      <c r="B47" s="7" t="s">
        <v>248</v>
      </c>
      <c r="C47" s="6" t="s">
        <v>12</v>
      </c>
      <c r="D47" s="6" t="str">
        <f t="shared" si="0"/>
        <v>False</v>
      </c>
      <c r="E47" s="6" t="str">
        <f t="shared" si="1"/>
        <v>True</v>
      </c>
      <c r="F47" s="6" t="s">
        <v>68</v>
      </c>
      <c r="H47" s="6" t="s">
        <v>20</v>
      </c>
      <c r="I47" s="6" t="s">
        <v>31</v>
      </c>
      <c r="J47" s="6">
        <v>70</v>
      </c>
      <c r="K47" s="6" t="s">
        <v>25</v>
      </c>
      <c r="L47">
        <v>5.6</v>
      </c>
      <c r="M47">
        <v>5.6</v>
      </c>
      <c r="N47" t="s">
        <v>299</v>
      </c>
      <c r="O47">
        <v>0.1</v>
      </c>
      <c r="P47" s="6">
        <v>20</v>
      </c>
      <c r="Q47" s="6">
        <v>500</v>
      </c>
      <c r="S47" s="6" t="s">
        <v>69</v>
      </c>
    </row>
    <row r="48" spans="1:19" s="6" customFormat="1" x14ac:dyDescent="0.2">
      <c r="A48" s="6" t="s">
        <v>3</v>
      </c>
      <c r="B48" s="7" t="s">
        <v>249</v>
      </c>
      <c r="C48" s="6" t="s">
        <v>110</v>
      </c>
      <c r="D48" s="6" t="str">
        <f t="shared" si="0"/>
        <v>False</v>
      </c>
      <c r="E48" s="6" t="str">
        <f t="shared" si="1"/>
        <v>True</v>
      </c>
      <c r="F48" s="6" t="s">
        <v>140</v>
      </c>
      <c r="H48" s="6" t="s">
        <v>20</v>
      </c>
      <c r="I48" s="6" t="s">
        <v>31</v>
      </c>
      <c r="J48" s="6">
        <v>70</v>
      </c>
      <c r="K48" s="6" t="s">
        <v>25</v>
      </c>
      <c r="L48">
        <v>5.6</v>
      </c>
      <c r="M48">
        <v>5.6</v>
      </c>
      <c r="N48" t="s">
        <v>299</v>
      </c>
      <c r="O48">
        <v>0.1</v>
      </c>
      <c r="P48" s="6">
        <v>20</v>
      </c>
      <c r="Q48" s="6">
        <v>400</v>
      </c>
      <c r="S48" s="6" t="s">
        <v>146</v>
      </c>
    </row>
    <row r="49" spans="1:19" s="6" customFormat="1" x14ac:dyDescent="0.2">
      <c r="A49" s="6" t="s">
        <v>3</v>
      </c>
      <c r="B49" s="7" t="s">
        <v>250</v>
      </c>
      <c r="C49" s="6" t="s">
        <v>110</v>
      </c>
      <c r="D49" s="6" t="str">
        <f t="shared" si="0"/>
        <v>False</v>
      </c>
      <c r="E49" s="6" t="str">
        <f t="shared" si="1"/>
        <v>True</v>
      </c>
      <c r="F49" s="6" t="s">
        <v>141</v>
      </c>
      <c r="H49" s="6" t="s">
        <v>20</v>
      </c>
      <c r="I49" s="6" t="s">
        <v>31</v>
      </c>
      <c r="J49" s="6">
        <v>70</v>
      </c>
      <c r="K49" s="6" t="s">
        <v>25</v>
      </c>
      <c r="L49">
        <v>5.6</v>
      </c>
      <c r="M49">
        <v>5.6</v>
      </c>
      <c r="N49" t="s">
        <v>299</v>
      </c>
      <c r="O49">
        <v>0.1</v>
      </c>
      <c r="P49" s="6">
        <v>20</v>
      </c>
      <c r="Q49" s="6">
        <v>400</v>
      </c>
      <c r="S49" s="6" t="s">
        <v>147</v>
      </c>
    </row>
    <row r="50" spans="1:19" s="6" customFormat="1" x14ac:dyDescent="0.2">
      <c r="A50" s="6" t="s">
        <v>3</v>
      </c>
      <c r="B50" s="7" t="s">
        <v>251</v>
      </c>
      <c r="C50" s="6" t="s">
        <v>110</v>
      </c>
      <c r="D50" s="6" t="str">
        <f t="shared" si="0"/>
        <v>False</v>
      </c>
      <c r="E50" s="6" t="str">
        <f t="shared" si="1"/>
        <v>True</v>
      </c>
      <c r="F50" s="6" t="s">
        <v>142</v>
      </c>
      <c r="H50" s="6" t="s">
        <v>20</v>
      </c>
      <c r="I50" s="6" t="s">
        <v>31</v>
      </c>
      <c r="J50" s="6">
        <v>70</v>
      </c>
      <c r="K50" s="6" t="s">
        <v>25</v>
      </c>
      <c r="L50">
        <v>5.6</v>
      </c>
      <c r="M50">
        <v>5.6</v>
      </c>
      <c r="N50" t="s">
        <v>299</v>
      </c>
      <c r="O50">
        <v>0.1</v>
      </c>
      <c r="P50" s="6">
        <v>20</v>
      </c>
      <c r="Q50" s="6">
        <v>400</v>
      </c>
      <c r="S50" s="6" t="s">
        <v>148</v>
      </c>
    </row>
    <row r="51" spans="1:19" s="6" customFormat="1" x14ac:dyDescent="0.2">
      <c r="A51" s="6" t="s">
        <v>3</v>
      </c>
      <c r="B51" s="7" t="s">
        <v>252</v>
      </c>
      <c r="C51" s="6" t="s">
        <v>110</v>
      </c>
      <c r="D51" s="6" t="str">
        <f t="shared" si="0"/>
        <v>False</v>
      </c>
      <c r="E51" s="6" t="str">
        <f t="shared" si="1"/>
        <v>True</v>
      </c>
      <c r="F51" s="6" t="s">
        <v>143</v>
      </c>
      <c r="H51" s="6" t="s">
        <v>20</v>
      </c>
      <c r="I51" s="6" t="s">
        <v>31</v>
      </c>
      <c r="J51" s="6">
        <v>70</v>
      </c>
      <c r="K51" s="6" t="s">
        <v>25</v>
      </c>
      <c r="L51">
        <v>5.6</v>
      </c>
      <c r="M51">
        <v>5.6</v>
      </c>
      <c r="N51" t="s">
        <v>299</v>
      </c>
      <c r="O51">
        <v>0.1</v>
      </c>
      <c r="P51" s="6">
        <v>20</v>
      </c>
      <c r="Q51" s="6">
        <v>400</v>
      </c>
      <c r="S51" s="6" t="s">
        <v>149</v>
      </c>
    </row>
    <row r="52" spans="1:19" s="6" customFormat="1" x14ac:dyDescent="0.2">
      <c r="A52" s="6" t="s">
        <v>3</v>
      </c>
      <c r="B52" s="7" t="s">
        <v>253</v>
      </c>
      <c r="C52" s="6" t="s">
        <v>110</v>
      </c>
      <c r="D52" s="6" t="str">
        <f t="shared" si="0"/>
        <v>False</v>
      </c>
      <c r="E52" s="6" t="str">
        <f t="shared" si="1"/>
        <v>True</v>
      </c>
      <c r="F52" s="6" t="s">
        <v>144</v>
      </c>
      <c r="H52" s="6" t="s">
        <v>20</v>
      </c>
      <c r="I52" s="6" t="s">
        <v>31</v>
      </c>
      <c r="J52" s="6">
        <v>70</v>
      </c>
      <c r="K52" s="6" t="s">
        <v>25</v>
      </c>
      <c r="L52">
        <v>5.6</v>
      </c>
      <c r="M52">
        <v>5.6</v>
      </c>
      <c r="N52" t="s">
        <v>299</v>
      </c>
      <c r="O52">
        <v>0.1</v>
      </c>
      <c r="P52" s="6">
        <v>20</v>
      </c>
      <c r="Q52" s="6">
        <v>400</v>
      </c>
      <c r="S52" s="6" t="s">
        <v>150</v>
      </c>
    </row>
    <row r="53" spans="1:19" s="6" customFormat="1" x14ac:dyDescent="0.2">
      <c r="A53" s="6" t="s">
        <v>3</v>
      </c>
      <c r="B53" s="7" t="s">
        <v>254</v>
      </c>
      <c r="C53" s="6" t="s">
        <v>110</v>
      </c>
      <c r="D53" s="6" t="str">
        <f t="shared" si="0"/>
        <v>False</v>
      </c>
      <c r="E53" s="6" t="str">
        <f t="shared" si="1"/>
        <v>True</v>
      </c>
      <c r="F53" s="6" t="s">
        <v>145</v>
      </c>
      <c r="H53" s="6" t="s">
        <v>20</v>
      </c>
      <c r="I53" s="6" t="s">
        <v>31</v>
      </c>
      <c r="J53" s="6">
        <v>70</v>
      </c>
      <c r="K53" s="6" t="s">
        <v>25</v>
      </c>
      <c r="L53">
        <v>5.6</v>
      </c>
      <c r="M53">
        <v>5.6</v>
      </c>
      <c r="N53" t="s">
        <v>299</v>
      </c>
      <c r="O53">
        <v>0.1</v>
      </c>
      <c r="P53" s="6">
        <v>20</v>
      </c>
      <c r="Q53" s="6">
        <v>400</v>
      </c>
      <c r="S53" s="6" t="s">
        <v>151</v>
      </c>
    </row>
    <row r="54" spans="1:19" x14ac:dyDescent="0.2">
      <c r="A54" t="s">
        <v>4</v>
      </c>
      <c r="B54" s="4" t="s">
        <v>237</v>
      </c>
      <c r="C54" t="s">
        <v>12</v>
      </c>
      <c r="D54" t="str">
        <f t="shared" si="0"/>
        <v>False</v>
      </c>
      <c r="E54" t="str">
        <f t="shared" si="1"/>
        <v>True</v>
      </c>
      <c r="F54" t="s">
        <v>81</v>
      </c>
      <c r="H54" t="s">
        <v>21</v>
      </c>
      <c r="I54" t="s">
        <v>31</v>
      </c>
      <c r="J54">
        <v>70</v>
      </c>
      <c r="K54" t="s">
        <v>25</v>
      </c>
      <c r="L54">
        <v>5.6</v>
      </c>
      <c r="M54">
        <v>5.6</v>
      </c>
      <c r="N54" t="s">
        <v>299</v>
      </c>
      <c r="O54">
        <v>0.1</v>
      </c>
      <c r="P54">
        <v>18</v>
      </c>
      <c r="Q54">
        <v>500</v>
      </c>
      <c r="S54" t="s">
        <v>92</v>
      </c>
    </row>
    <row r="55" spans="1:19" x14ac:dyDescent="0.2">
      <c r="A55" t="s">
        <v>4</v>
      </c>
      <c r="B55" s="4" t="s">
        <v>238</v>
      </c>
      <c r="C55" t="s">
        <v>12</v>
      </c>
      <c r="D55" t="str">
        <f t="shared" si="0"/>
        <v>False</v>
      </c>
      <c r="E55" t="str">
        <f t="shared" si="1"/>
        <v>True</v>
      </c>
      <c r="F55" t="s">
        <v>82</v>
      </c>
      <c r="H55" t="s">
        <v>21</v>
      </c>
      <c r="I55" t="s">
        <v>31</v>
      </c>
      <c r="J55">
        <v>70</v>
      </c>
      <c r="K55" t="s">
        <v>25</v>
      </c>
      <c r="L55">
        <v>5.6</v>
      </c>
      <c r="M55">
        <v>5.6</v>
      </c>
      <c r="N55" t="s">
        <v>299</v>
      </c>
      <c r="O55">
        <v>0.1</v>
      </c>
      <c r="P55">
        <v>18</v>
      </c>
      <c r="Q55">
        <v>500</v>
      </c>
      <c r="S55" t="s">
        <v>93</v>
      </c>
    </row>
    <row r="56" spans="1:19" x14ac:dyDescent="0.2">
      <c r="A56" t="s">
        <v>4</v>
      </c>
      <c r="B56" s="4" t="s">
        <v>239</v>
      </c>
      <c r="C56" t="s">
        <v>12</v>
      </c>
      <c r="D56" t="str">
        <f t="shared" si="0"/>
        <v>False</v>
      </c>
      <c r="E56" t="str">
        <f t="shared" si="1"/>
        <v>True</v>
      </c>
      <c r="F56" t="s">
        <v>83</v>
      </c>
      <c r="H56" t="s">
        <v>21</v>
      </c>
      <c r="I56" t="s">
        <v>31</v>
      </c>
      <c r="J56">
        <v>70</v>
      </c>
      <c r="K56" t="s">
        <v>25</v>
      </c>
      <c r="L56">
        <v>5.6</v>
      </c>
      <c r="M56">
        <v>5.6</v>
      </c>
      <c r="N56" t="s">
        <v>299</v>
      </c>
      <c r="O56">
        <v>0.1</v>
      </c>
      <c r="P56">
        <v>18</v>
      </c>
      <c r="Q56">
        <v>500</v>
      </c>
      <c r="S56" t="s">
        <v>93</v>
      </c>
    </row>
    <row r="57" spans="1:19" x14ac:dyDescent="0.2">
      <c r="A57" t="s">
        <v>4</v>
      </c>
      <c r="B57" s="4" t="s">
        <v>240</v>
      </c>
      <c r="C57" t="s">
        <v>110</v>
      </c>
      <c r="D57" t="str">
        <f t="shared" si="0"/>
        <v>False</v>
      </c>
      <c r="E57" t="str">
        <f t="shared" si="1"/>
        <v>True</v>
      </c>
      <c r="F57" t="s">
        <v>134</v>
      </c>
      <c r="H57" t="s">
        <v>21</v>
      </c>
      <c r="I57" t="s">
        <v>31</v>
      </c>
      <c r="J57">
        <v>70</v>
      </c>
      <c r="K57" t="s">
        <v>25</v>
      </c>
      <c r="L57">
        <v>5.6</v>
      </c>
      <c r="M57">
        <v>5.6</v>
      </c>
      <c r="N57" t="s">
        <v>299</v>
      </c>
      <c r="O57">
        <v>0.1</v>
      </c>
      <c r="P57">
        <v>18</v>
      </c>
      <c r="Q57">
        <v>400</v>
      </c>
      <c r="S57" t="s">
        <v>137</v>
      </c>
    </row>
    <row r="58" spans="1:19" x14ac:dyDescent="0.2">
      <c r="A58" t="s">
        <v>4</v>
      </c>
      <c r="B58" s="4" t="s">
        <v>241</v>
      </c>
      <c r="C58" t="s">
        <v>110</v>
      </c>
      <c r="D58" t="str">
        <f t="shared" si="0"/>
        <v>False</v>
      </c>
      <c r="E58" t="str">
        <f t="shared" si="1"/>
        <v>True</v>
      </c>
      <c r="F58" t="s">
        <v>135</v>
      </c>
      <c r="H58" t="s">
        <v>21</v>
      </c>
      <c r="I58" t="s">
        <v>31</v>
      </c>
      <c r="J58">
        <v>70</v>
      </c>
      <c r="K58" t="s">
        <v>25</v>
      </c>
      <c r="L58">
        <v>5.6</v>
      </c>
      <c r="M58">
        <v>5.6</v>
      </c>
      <c r="N58" t="s">
        <v>299</v>
      </c>
      <c r="O58">
        <v>0.1</v>
      </c>
      <c r="P58">
        <v>18</v>
      </c>
      <c r="Q58">
        <v>400</v>
      </c>
      <c r="S58" t="s">
        <v>138</v>
      </c>
    </row>
    <row r="59" spans="1:19" x14ac:dyDescent="0.2">
      <c r="A59" t="s">
        <v>4</v>
      </c>
      <c r="B59" s="4" t="s">
        <v>242</v>
      </c>
      <c r="C59" t="s">
        <v>110</v>
      </c>
      <c r="D59" t="str">
        <f t="shared" si="0"/>
        <v>False</v>
      </c>
      <c r="E59" t="str">
        <f t="shared" si="1"/>
        <v>True</v>
      </c>
      <c r="F59" t="s">
        <v>136</v>
      </c>
      <c r="H59" t="s">
        <v>21</v>
      </c>
      <c r="I59" t="s">
        <v>31</v>
      </c>
      <c r="J59">
        <v>70</v>
      </c>
      <c r="K59" t="s">
        <v>25</v>
      </c>
      <c r="L59">
        <v>5.6</v>
      </c>
      <c r="M59">
        <v>5.6</v>
      </c>
      <c r="N59" t="s">
        <v>299</v>
      </c>
      <c r="O59">
        <v>0.1</v>
      </c>
      <c r="P59">
        <v>18</v>
      </c>
      <c r="Q59">
        <v>400</v>
      </c>
      <c r="S59" t="s">
        <v>139</v>
      </c>
    </row>
    <row r="60" spans="1:19" s="6" customFormat="1" x14ac:dyDescent="0.2">
      <c r="A60" s="6" t="s">
        <v>5</v>
      </c>
      <c r="B60" s="7" t="s">
        <v>221</v>
      </c>
      <c r="C60" s="6" t="s">
        <v>12</v>
      </c>
      <c r="D60" s="6" t="str">
        <f t="shared" si="0"/>
        <v>False</v>
      </c>
      <c r="E60" s="6" t="str">
        <f t="shared" si="1"/>
        <v>True</v>
      </c>
      <c r="F60" s="6" t="s">
        <v>70</v>
      </c>
      <c r="H60" s="6" t="s">
        <v>23</v>
      </c>
      <c r="I60" s="6" t="s">
        <v>31</v>
      </c>
      <c r="J60" s="6">
        <v>70</v>
      </c>
      <c r="K60" s="6" t="s">
        <v>25</v>
      </c>
      <c r="L60">
        <v>5.6</v>
      </c>
      <c r="M60">
        <v>5.6</v>
      </c>
      <c r="N60" t="s">
        <v>299</v>
      </c>
      <c r="O60">
        <v>0.1</v>
      </c>
      <c r="P60" s="6">
        <v>19</v>
      </c>
      <c r="Q60" s="6">
        <v>600</v>
      </c>
      <c r="S60" s="6" t="s">
        <v>71</v>
      </c>
    </row>
    <row r="61" spans="1:19" s="6" customFormat="1" x14ac:dyDescent="0.2">
      <c r="A61" s="6" t="s">
        <v>5</v>
      </c>
      <c r="B61" s="7" t="s">
        <v>222</v>
      </c>
      <c r="C61" s="6" t="s">
        <v>12</v>
      </c>
      <c r="D61" s="6" t="str">
        <f t="shared" si="0"/>
        <v>False</v>
      </c>
      <c r="E61" s="6" t="str">
        <f t="shared" si="1"/>
        <v>True</v>
      </c>
      <c r="F61" s="6" t="s">
        <v>72</v>
      </c>
      <c r="H61" s="6" t="s">
        <v>23</v>
      </c>
      <c r="I61" s="6" t="s">
        <v>31</v>
      </c>
      <c r="J61" s="6">
        <v>70</v>
      </c>
      <c r="K61" s="6" t="s">
        <v>25</v>
      </c>
      <c r="L61">
        <v>5.6</v>
      </c>
      <c r="M61">
        <v>5.6</v>
      </c>
      <c r="N61" t="s">
        <v>299</v>
      </c>
      <c r="O61">
        <v>0.1</v>
      </c>
      <c r="P61" s="6">
        <v>19</v>
      </c>
      <c r="Q61" s="6">
        <v>600</v>
      </c>
      <c r="S61" s="6" t="s">
        <v>71</v>
      </c>
    </row>
    <row r="62" spans="1:19" s="6" customFormat="1" x14ac:dyDescent="0.2">
      <c r="A62" s="6" t="s">
        <v>5</v>
      </c>
      <c r="B62" s="7" t="s">
        <v>223</v>
      </c>
      <c r="C62" s="6" t="s">
        <v>12</v>
      </c>
      <c r="D62" s="6" t="str">
        <f t="shared" si="0"/>
        <v>False</v>
      </c>
      <c r="E62" s="6" t="str">
        <f t="shared" si="1"/>
        <v>True</v>
      </c>
      <c r="F62" s="6" t="s">
        <v>73</v>
      </c>
      <c r="H62" s="6" t="s">
        <v>23</v>
      </c>
      <c r="I62" s="6" t="s">
        <v>31</v>
      </c>
      <c r="J62" s="6">
        <v>70</v>
      </c>
      <c r="K62" s="6" t="s">
        <v>25</v>
      </c>
      <c r="L62">
        <v>5.6</v>
      </c>
      <c r="M62">
        <v>5.6</v>
      </c>
      <c r="N62" t="s">
        <v>299</v>
      </c>
      <c r="O62">
        <v>0.1</v>
      </c>
      <c r="P62" s="6">
        <v>19</v>
      </c>
      <c r="Q62" s="6">
        <v>600</v>
      </c>
      <c r="S62" s="6" t="s">
        <v>71</v>
      </c>
    </row>
    <row r="63" spans="1:19" s="6" customFormat="1" x14ac:dyDescent="0.2">
      <c r="A63" s="6" t="s">
        <v>5</v>
      </c>
      <c r="B63" s="7" t="s">
        <v>224</v>
      </c>
      <c r="C63" s="6" t="s">
        <v>12</v>
      </c>
      <c r="D63" s="6" t="str">
        <f t="shared" si="0"/>
        <v>False</v>
      </c>
      <c r="E63" s="6" t="str">
        <f t="shared" si="1"/>
        <v>True</v>
      </c>
      <c r="F63" s="6" t="s">
        <v>74</v>
      </c>
      <c r="H63" s="6" t="s">
        <v>23</v>
      </c>
      <c r="I63" s="6" t="s">
        <v>31</v>
      </c>
      <c r="J63" s="6">
        <v>70</v>
      </c>
      <c r="K63" s="6" t="s">
        <v>25</v>
      </c>
      <c r="L63">
        <v>5.6</v>
      </c>
      <c r="M63">
        <v>5.6</v>
      </c>
      <c r="N63" t="s">
        <v>299</v>
      </c>
      <c r="O63">
        <v>0.1</v>
      </c>
      <c r="P63" s="6">
        <v>19</v>
      </c>
      <c r="Q63" s="6">
        <v>600</v>
      </c>
      <c r="S63" s="6" t="s">
        <v>75</v>
      </c>
    </row>
    <row r="64" spans="1:19" s="6" customFormat="1" x14ac:dyDescent="0.2">
      <c r="A64" s="6" t="s">
        <v>5</v>
      </c>
      <c r="B64" s="7" t="s">
        <v>225</v>
      </c>
      <c r="C64" s="6" t="s">
        <v>12</v>
      </c>
      <c r="D64" s="6" t="str">
        <f t="shared" si="0"/>
        <v>False</v>
      </c>
      <c r="E64" s="6" t="str">
        <f t="shared" si="1"/>
        <v>True</v>
      </c>
      <c r="F64" s="6" t="s">
        <v>76</v>
      </c>
      <c r="H64" s="6" t="s">
        <v>23</v>
      </c>
      <c r="I64" s="6" t="s">
        <v>31</v>
      </c>
      <c r="J64" s="6">
        <v>70</v>
      </c>
      <c r="K64" s="6" t="s">
        <v>25</v>
      </c>
      <c r="L64">
        <v>5.6</v>
      </c>
      <c r="M64">
        <v>5.6</v>
      </c>
      <c r="N64" t="s">
        <v>299</v>
      </c>
      <c r="O64">
        <v>0.1</v>
      </c>
      <c r="P64" s="6">
        <v>19</v>
      </c>
      <c r="Q64" s="6">
        <v>600</v>
      </c>
      <c r="S64" s="6" t="s">
        <v>75</v>
      </c>
    </row>
    <row r="65" spans="1:19" s="6" customFormat="1" x14ac:dyDescent="0.2">
      <c r="A65" s="6" t="s">
        <v>5</v>
      </c>
      <c r="B65" s="7" t="s">
        <v>226</v>
      </c>
      <c r="C65" s="6" t="s">
        <v>12</v>
      </c>
      <c r="D65" s="6" t="str">
        <f t="shared" si="0"/>
        <v>False</v>
      </c>
      <c r="E65" s="6" t="str">
        <f t="shared" si="1"/>
        <v>True</v>
      </c>
      <c r="F65" s="6" t="s">
        <v>77</v>
      </c>
      <c r="H65" s="6" t="s">
        <v>23</v>
      </c>
      <c r="I65" s="6" t="s">
        <v>31</v>
      </c>
      <c r="J65" s="6">
        <v>70</v>
      </c>
      <c r="K65" s="6" t="s">
        <v>25</v>
      </c>
      <c r="L65">
        <v>5.6</v>
      </c>
      <c r="M65">
        <v>5.6</v>
      </c>
      <c r="N65" t="s">
        <v>299</v>
      </c>
      <c r="O65">
        <v>0.1</v>
      </c>
      <c r="P65" s="6">
        <v>19</v>
      </c>
      <c r="Q65" s="6">
        <v>600</v>
      </c>
      <c r="S65" s="6" t="s">
        <v>78</v>
      </c>
    </row>
    <row r="66" spans="1:19" s="6" customFormat="1" x14ac:dyDescent="0.2">
      <c r="A66" s="6" t="s">
        <v>5</v>
      </c>
      <c r="B66" s="7" t="s">
        <v>227</v>
      </c>
      <c r="C66" s="6" t="s">
        <v>12</v>
      </c>
      <c r="D66" s="6" t="str">
        <f t="shared" si="0"/>
        <v>False</v>
      </c>
      <c r="E66" s="6" t="str">
        <f t="shared" si="1"/>
        <v>True</v>
      </c>
      <c r="F66" s="6" t="s">
        <v>200</v>
      </c>
      <c r="H66" s="6" t="s">
        <v>23</v>
      </c>
      <c r="I66" s="6" t="s">
        <v>31</v>
      </c>
      <c r="J66" s="6">
        <v>70</v>
      </c>
      <c r="K66" s="6" t="s">
        <v>25</v>
      </c>
      <c r="L66">
        <v>5.6</v>
      </c>
      <c r="M66">
        <v>5.6</v>
      </c>
      <c r="N66" t="s">
        <v>299</v>
      </c>
      <c r="O66">
        <v>0.1</v>
      </c>
      <c r="P66" s="6">
        <v>19</v>
      </c>
      <c r="Q66" s="6">
        <v>600</v>
      </c>
      <c r="S66" s="6" t="s">
        <v>78</v>
      </c>
    </row>
    <row r="67" spans="1:19" s="6" customFormat="1" x14ac:dyDescent="0.2">
      <c r="A67" s="6" t="s">
        <v>5</v>
      </c>
      <c r="B67" s="7" t="s">
        <v>228</v>
      </c>
      <c r="C67" s="6" t="s">
        <v>12</v>
      </c>
      <c r="D67" s="6" t="str">
        <f t="shared" si="0"/>
        <v>False</v>
      </c>
      <c r="E67" s="6" t="str">
        <f t="shared" si="1"/>
        <v>True</v>
      </c>
      <c r="F67" s="6" t="s">
        <v>80</v>
      </c>
      <c r="H67" s="6" t="s">
        <v>23</v>
      </c>
      <c r="I67" s="6" t="s">
        <v>31</v>
      </c>
      <c r="J67" s="6">
        <v>70</v>
      </c>
      <c r="K67" s="6" t="s">
        <v>25</v>
      </c>
      <c r="L67">
        <v>5.6</v>
      </c>
      <c r="M67">
        <v>5.6</v>
      </c>
      <c r="N67" t="s">
        <v>299</v>
      </c>
      <c r="O67">
        <v>0.1</v>
      </c>
      <c r="P67" s="6">
        <v>19</v>
      </c>
      <c r="Q67" s="6">
        <v>600</v>
      </c>
      <c r="S67" s="6" t="s">
        <v>79</v>
      </c>
    </row>
    <row r="68" spans="1:19" s="6" customFormat="1" x14ac:dyDescent="0.2">
      <c r="A68" s="6" t="s">
        <v>5</v>
      </c>
      <c r="B68" s="7" t="s">
        <v>229</v>
      </c>
      <c r="C68" s="6" t="s">
        <v>110</v>
      </c>
      <c r="D68" s="6" t="str">
        <f t="shared" si="0"/>
        <v>False</v>
      </c>
      <c r="E68" s="6" t="str">
        <f t="shared" si="1"/>
        <v>True</v>
      </c>
      <c r="F68" s="7" t="s">
        <v>120</v>
      </c>
      <c r="H68" s="6" t="s">
        <v>23</v>
      </c>
      <c r="I68" s="6" t="s">
        <v>31</v>
      </c>
      <c r="J68" s="6">
        <v>70</v>
      </c>
      <c r="K68" s="6" t="s">
        <v>25</v>
      </c>
      <c r="L68">
        <v>5.6</v>
      </c>
      <c r="M68">
        <v>5.6</v>
      </c>
      <c r="N68" t="s">
        <v>299</v>
      </c>
      <c r="O68">
        <v>0.1</v>
      </c>
      <c r="P68" s="6">
        <v>19</v>
      </c>
      <c r="Q68" s="6">
        <v>400</v>
      </c>
      <c r="S68" s="6" t="s">
        <v>127</v>
      </c>
    </row>
    <row r="69" spans="1:19" s="6" customFormat="1" x14ac:dyDescent="0.2">
      <c r="A69" s="6" t="s">
        <v>5</v>
      </c>
      <c r="B69" s="7" t="s">
        <v>230</v>
      </c>
      <c r="C69" s="6" t="s">
        <v>110</v>
      </c>
      <c r="D69" s="6" t="str">
        <f t="shared" si="0"/>
        <v>False</v>
      </c>
      <c r="E69" s="6" t="str">
        <f t="shared" si="1"/>
        <v>True</v>
      </c>
      <c r="F69" s="7" t="s">
        <v>121</v>
      </c>
      <c r="H69" s="6" t="s">
        <v>23</v>
      </c>
      <c r="I69" s="6" t="s">
        <v>31</v>
      </c>
      <c r="J69" s="6">
        <v>70</v>
      </c>
      <c r="K69" s="6" t="s">
        <v>25</v>
      </c>
      <c r="L69">
        <v>5.6</v>
      </c>
      <c r="M69">
        <v>5.6</v>
      </c>
      <c r="N69" t="s">
        <v>299</v>
      </c>
      <c r="O69">
        <v>0.1</v>
      </c>
      <c r="P69" s="6">
        <v>19</v>
      </c>
      <c r="Q69" s="6">
        <v>400</v>
      </c>
      <c r="S69" s="6" t="s">
        <v>128</v>
      </c>
    </row>
    <row r="70" spans="1:19" s="6" customFormat="1" x14ac:dyDescent="0.2">
      <c r="A70" s="6" t="s">
        <v>5</v>
      </c>
      <c r="B70" s="7" t="s">
        <v>231</v>
      </c>
      <c r="C70" s="6" t="s">
        <v>110</v>
      </c>
      <c r="D70" s="6" t="str">
        <f t="shared" si="0"/>
        <v>False</v>
      </c>
      <c r="E70" s="6" t="str">
        <f t="shared" si="1"/>
        <v>True</v>
      </c>
      <c r="F70" s="7" t="s">
        <v>122</v>
      </c>
      <c r="H70" s="6" t="s">
        <v>23</v>
      </c>
      <c r="I70" s="6" t="s">
        <v>31</v>
      </c>
      <c r="J70" s="6">
        <v>70</v>
      </c>
      <c r="K70" s="6" t="s">
        <v>25</v>
      </c>
      <c r="L70">
        <v>5.6</v>
      </c>
      <c r="M70">
        <v>5.6</v>
      </c>
      <c r="N70" t="s">
        <v>299</v>
      </c>
      <c r="O70">
        <v>0.1</v>
      </c>
      <c r="P70" s="6">
        <v>19</v>
      </c>
      <c r="Q70" s="6">
        <v>400</v>
      </c>
      <c r="S70" s="6" t="s">
        <v>129</v>
      </c>
    </row>
    <row r="71" spans="1:19" s="6" customFormat="1" x14ac:dyDescent="0.2">
      <c r="A71" s="6" t="s">
        <v>5</v>
      </c>
      <c r="B71" s="7" t="s">
        <v>232</v>
      </c>
      <c r="C71" s="6" t="s">
        <v>110</v>
      </c>
      <c r="D71" s="6" t="str">
        <f t="shared" si="0"/>
        <v>False</v>
      </c>
      <c r="E71" s="6" t="str">
        <f t="shared" si="1"/>
        <v>True</v>
      </c>
      <c r="F71" s="7" t="s">
        <v>123</v>
      </c>
      <c r="H71" s="6" t="s">
        <v>23</v>
      </c>
      <c r="I71" s="6" t="s">
        <v>31</v>
      </c>
      <c r="J71" s="6">
        <v>70</v>
      </c>
      <c r="K71" s="6" t="s">
        <v>25</v>
      </c>
      <c r="L71">
        <v>5.6</v>
      </c>
      <c r="M71">
        <v>5.6</v>
      </c>
      <c r="N71" t="s">
        <v>299</v>
      </c>
      <c r="O71">
        <v>0.1</v>
      </c>
      <c r="P71" s="6">
        <v>19</v>
      </c>
      <c r="Q71" s="6">
        <v>400</v>
      </c>
      <c r="S71" s="6" t="s">
        <v>130</v>
      </c>
    </row>
    <row r="72" spans="1:19" s="6" customFormat="1" x14ac:dyDescent="0.2">
      <c r="A72" s="6" t="s">
        <v>5</v>
      </c>
      <c r="B72" s="7" t="s">
        <v>233</v>
      </c>
      <c r="C72" s="6" t="s">
        <v>110</v>
      </c>
      <c r="D72" s="6" t="str">
        <f t="shared" si="0"/>
        <v>False</v>
      </c>
      <c r="E72" s="6" t="str">
        <f t="shared" si="1"/>
        <v>True</v>
      </c>
      <c r="F72" s="7" t="s">
        <v>124</v>
      </c>
      <c r="H72" s="6" t="s">
        <v>23</v>
      </c>
      <c r="I72" s="6" t="s">
        <v>31</v>
      </c>
      <c r="J72" s="6">
        <v>70</v>
      </c>
      <c r="K72" s="6" t="s">
        <v>25</v>
      </c>
      <c r="L72">
        <v>5.6</v>
      </c>
      <c r="M72">
        <v>5.6</v>
      </c>
      <c r="N72" t="s">
        <v>299</v>
      </c>
      <c r="O72">
        <v>0.1</v>
      </c>
      <c r="P72" s="6">
        <v>19</v>
      </c>
      <c r="Q72" s="6">
        <v>400</v>
      </c>
      <c r="S72" s="6" t="s">
        <v>131</v>
      </c>
    </row>
    <row r="73" spans="1:19" s="6" customFormat="1" x14ac:dyDescent="0.2">
      <c r="A73" s="6" t="s">
        <v>5</v>
      </c>
      <c r="B73" s="7" t="s">
        <v>234</v>
      </c>
      <c r="C73" s="6" t="s">
        <v>110</v>
      </c>
      <c r="D73" s="6" t="str">
        <f t="shared" si="0"/>
        <v>False</v>
      </c>
      <c r="E73" s="6" t="str">
        <f t="shared" si="1"/>
        <v>True</v>
      </c>
      <c r="F73" s="7" t="s">
        <v>125</v>
      </c>
      <c r="H73" s="6" t="s">
        <v>23</v>
      </c>
      <c r="I73" s="6" t="s">
        <v>31</v>
      </c>
      <c r="J73" s="6">
        <v>70</v>
      </c>
      <c r="K73" s="6" t="s">
        <v>25</v>
      </c>
      <c r="L73">
        <v>5.6</v>
      </c>
      <c r="M73">
        <v>5.6</v>
      </c>
      <c r="N73" t="s">
        <v>299</v>
      </c>
      <c r="O73">
        <v>0.1</v>
      </c>
      <c r="P73" s="6">
        <v>19</v>
      </c>
      <c r="Q73" s="6">
        <v>400</v>
      </c>
      <c r="S73" s="6" t="s">
        <v>132</v>
      </c>
    </row>
    <row r="74" spans="1:19" s="6" customFormat="1" x14ac:dyDescent="0.2">
      <c r="A74" s="6" t="s">
        <v>5</v>
      </c>
      <c r="B74" s="7" t="s">
        <v>235</v>
      </c>
      <c r="C74" s="6" t="s">
        <v>110</v>
      </c>
      <c r="D74" s="6" t="str">
        <f t="shared" si="0"/>
        <v>False</v>
      </c>
      <c r="E74" s="6" t="str">
        <f t="shared" si="1"/>
        <v>True</v>
      </c>
      <c r="F74" s="7" t="s">
        <v>201</v>
      </c>
      <c r="H74" s="6" t="s">
        <v>23</v>
      </c>
      <c r="I74" s="6" t="s">
        <v>31</v>
      </c>
      <c r="J74" s="6">
        <v>70</v>
      </c>
      <c r="K74" s="6" t="s">
        <v>25</v>
      </c>
      <c r="L74">
        <v>5.6</v>
      </c>
      <c r="M74">
        <v>5.6</v>
      </c>
      <c r="N74" t="s">
        <v>299</v>
      </c>
      <c r="O74">
        <v>0.1</v>
      </c>
      <c r="P74" s="6">
        <v>19</v>
      </c>
      <c r="Q74" s="6">
        <v>400</v>
      </c>
      <c r="S74" s="6" t="s">
        <v>202</v>
      </c>
    </row>
    <row r="75" spans="1:19" s="6" customFormat="1" x14ac:dyDescent="0.2">
      <c r="A75" s="6" t="s">
        <v>5</v>
      </c>
      <c r="B75" s="7" t="s">
        <v>236</v>
      </c>
      <c r="C75" s="6" t="s">
        <v>110</v>
      </c>
      <c r="D75" s="6" t="str">
        <f t="shared" si="0"/>
        <v>False</v>
      </c>
      <c r="E75" s="6" t="str">
        <f t="shared" si="1"/>
        <v>True</v>
      </c>
      <c r="F75" s="7" t="s">
        <v>126</v>
      </c>
      <c r="H75" s="6" t="s">
        <v>23</v>
      </c>
      <c r="I75" s="6" t="s">
        <v>31</v>
      </c>
      <c r="J75" s="6">
        <v>70</v>
      </c>
      <c r="K75" s="6" t="s">
        <v>25</v>
      </c>
      <c r="L75">
        <v>5.6</v>
      </c>
      <c r="M75">
        <v>5.6</v>
      </c>
      <c r="N75" t="s">
        <v>299</v>
      </c>
      <c r="O75">
        <v>0.1</v>
      </c>
      <c r="P75" s="6">
        <v>19</v>
      </c>
      <c r="Q75" s="6">
        <v>400</v>
      </c>
      <c r="S75" s="6" t="s">
        <v>133</v>
      </c>
    </row>
    <row r="76" spans="1:19" x14ac:dyDescent="0.2">
      <c r="A76" t="s">
        <v>6</v>
      </c>
      <c r="B76" s="4" t="s">
        <v>203</v>
      </c>
      <c r="C76" t="s">
        <v>12</v>
      </c>
      <c r="D76" t="str">
        <f t="shared" si="0"/>
        <v>False</v>
      </c>
      <c r="E76" t="str">
        <f t="shared" si="1"/>
        <v>True</v>
      </c>
      <c r="F76" t="s">
        <v>85</v>
      </c>
      <c r="H76" t="s">
        <v>22</v>
      </c>
      <c r="I76" t="s">
        <v>31</v>
      </c>
      <c r="J76">
        <v>70</v>
      </c>
      <c r="K76" t="s">
        <v>25</v>
      </c>
      <c r="L76">
        <v>5.6</v>
      </c>
      <c r="M76">
        <v>5.6</v>
      </c>
      <c r="N76" t="s">
        <v>299</v>
      </c>
      <c r="O76">
        <v>0.1</v>
      </c>
      <c r="P76">
        <v>20</v>
      </c>
      <c r="Q76">
        <v>600</v>
      </c>
      <c r="S76" t="s">
        <v>84</v>
      </c>
    </row>
    <row r="77" spans="1:19" x14ac:dyDescent="0.2">
      <c r="A77" t="s">
        <v>6</v>
      </c>
      <c r="B77" s="4" t="s">
        <v>204</v>
      </c>
      <c r="C77" t="s">
        <v>12</v>
      </c>
      <c r="D77" t="str">
        <f t="shared" si="0"/>
        <v>False</v>
      </c>
      <c r="E77" t="str">
        <f t="shared" si="1"/>
        <v>True</v>
      </c>
      <c r="F77" t="s">
        <v>87</v>
      </c>
      <c r="H77" t="s">
        <v>22</v>
      </c>
      <c r="I77" t="s">
        <v>31</v>
      </c>
      <c r="J77">
        <v>70</v>
      </c>
      <c r="K77" t="s">
        <v>25</v>
      </c>
      <c r="L77">
        <v>5.6</v>
      </c>
      <c r="M77">
        <v>5.6</v>
      </c>
      <c r="N77" t="s">
        <v>299</v>
      </c>
      <c r="O77">
        <v>0.1</v>
      </c>
      <c r="P77">
        <v>20</v>
      </c>
      <c r="Q77">
        <v>600</v>
      </c>
      <c r="S77" t="s">
        <v>86</v>
      </c>
    </row>
    <row r="78" spans="1:19" x14ac:dyDescent="0.2">
      <c r="A78" t="s">
        <v>6</v>
      </c>
      <c r="B78" s="4" t="s">
        <v>205</v>
      </c>
      <c r="C78" t="s">
        <v>12</v>
      </c>
      <c r="D78" t="str">
        <f t="shared" si="0"/>
        <v>False</v>
      </c>
      <c r="E78" t="str">
        <f t="shared" si="1"/>
        <v>True</v>
      </c>
      <c r="F78" t="s">
        <v>88</v>
      </c>
      <c r="H78" t="s">
        <v>22</v>
      </c>
      <c r="I78" t="s">
        <v>31</v>
      </c>
      <c r="J78">
        <v>70</v>
      </c>
      <c r="K78" t="s">
        <v>25</v>
      </c>
      <c r="L78">
        <v>5.6</v>
      </c>
      <c r="M78">
        <v>5.6</v>
      </c>
      <c r="N78" t="s">
        <v>299</v>
      </c>
      <c r="O78">
        <v>0.1</v>
      </c>
      <c r="P78">
        <v>20</v>
      </c>
      <c r="Q78">
        <v>600</v>
      </c>
      <c r="S78" t="s">
        <v>86</v>
      </c>
    </row>
    <row r="79" spans="1:19" x14ac:dyDescent="0.2">
      <c r="A79" t="s">
        <v>6</v>
      </c>
      <c r="B79" s="4" t="s">
        <v>206</v>
      </c>
      <c r="C79" t="s">
        <v>12</v>
      </c>
      <c r="D79" t="str">
        <f t="shared" si="0"/>
        <v>False</v>
      </c>
      <c r="E79" t="str">
        <f t="shared" si="1"/>
        <v>True</v>
      </c>
      <c r="F79" t="s">
        <v>89</v>
      </c>
      <c r="H79" t="s">
        <v>22</v>
      </c>
      <c r="I79" t="s">
        <v>31</v>
      </c>
      <c r="J79">
        <v>70</v>
      </c>
      <c r="K79" t="s">
        <v>25</v>
      </c>
      <c r="L79">
        <v>5.6</v>
      </c>
      <c r="M79">
        <v>5.6</v>
      </c>
      <c r="N79" t="s">
        <v>299</v>
      </c>
      <c r="O79">
        <v>0.1</v>
      </c>
      <c r="P79">
        <v>20</v>
      </c>
      <c r="Q79">
        <v>600</v>
      </c>
      <c r="S79" t="s">
        <v>86</v>
      </c>
    </row>
    <row r="80" spans="1:19" x14ac:dyDescent="0.2">
      <c r="A80" t="s">
        <v>6</v>
      </c>
      <c r="B80" s="4" t="s">
        <v>207</v>
      </c>
      <c r="C80" t="s">
        <v>12</v>
      </c>
      <c r="D80" t="str">
        <f t="shared" si="0"/>
        <v>False</v>
      </c>
      <c r="E80" t="str">
        <f t="shared" si="1"/>
        <v>True</v>
      </c>
      <c r="F80" t="s">
        <v>90</v>
      </c>
      <c r="H80" t="s">
        <v>22</v>
      </c>
      <c r="I80" t="s">
        <v>31</v>
      </c>
      <c r="J80">
        <v>70</v>
      </c>
      <c r="K80" t="s">
        <v>25</v>
      </c>
      <c r="L80">
        <v>5.6</v>
      </c>
      <c r="M80">
        <v>5.6</v>
      </c>
      <c r="N80" t="s">
        <v>299</v>
      </c>
      <c r="O80">
        <v>0.1</v>
      </c>
      <c r="P80">
        <v>20</v>
      </c>
      <c r="Q80">
        <v>600</v>
      </c>
      <c r="S80" t="s">
        <v>86</v>
      </c>
    </row>
    <row r="81" spans="1:19" x14ac:dyDescent="0.2">
      <c r="A81" t="s">
        <v>6</v>
      </c>
      <c r="B81" s="4" t="s">
        <v>208</v>
      </c>
      <c r="C81" t="s">
        <v>12</v>
      </c>
      <c r="D81" t="str">
        <f t="shared" si="0"/>
        <v>False</v>
      </c>
      <c r="E81" t="str">
        <f t="shared" si="1"/>
        <v>True</v>
      </c>
      <c r="F81" t="s">
        <v>94</v>
      </c>
      <c r="H81" t="s">
        <v>22</v>
      </c>
      <c r="I81" t="s">
        <v>31</v>
      </c>
      <c r="J81">
        <v>70</v>
      </c>
      <c r="K81" t="s">
        <v>25</v>
      </c>
      <c r="L81">
        <v>5.6</v>
      </c>
      <c r="M81">
        <v>5.6</v>
      </c>
      <c r="N81" t="s">
        <v>299</v>
      </c>
      <c r="O81">
        <v>0.1</v>
      </c>
      <c r="P81">
        <v>179</v>
      </c>
      <c r="Q81">
        <v>600</v>
      </c>
      <c r="S81" t="s">
        <v>91</v>
      </c>
    </row>
    <row r="82" spans="1:19" x14ac:dyDescent="0.2">
      <c r="A82" t="s">
        <v>6</v>
      </c>
      <c r="B82" s="4" t="s">
        <v>209</v>
      </c>
      <c r="C82" t="s">
        <v>12</v>
      </c>
      <c r="D82" t="str">
        <f t="shared" si="0"/>
        <v>False</v>
      </c>
      <c r="E82" t="str">
        <f t="shared" si="1"/>
        <v>True</v>
      </c>
      <c r="F82" t="s">
        <v>95</v>
      </c>
      <c r="H82" t="s">
        <v>22</v>
      </c>
      <c r="I82" t="s">
        <v>31</v>
      </c>
      <c r="J82">
        <v>70</v>
      </c>
      <c r="K82" t="s">
        <v>25</v>
      </c>
      <c r="L82">
        <v>5.6</v>
      </c>
      <c r="M82">
        <v>5.6</v>
      </c>
      <c r="N82" t="s">
        <v>299</v>
      </c>
      <c r="O82">
        <v>0.1</v>
      </c>
      <c r="P82">
        <v>179</v>
      </c>
      <c r="Q82">
        <v>600</v>
      </c>
      <c r="S82" t="s">
        <v>96</v>
      </c>
    </row>
    <row r="83" spans="1:19" x14ac:dyDescent="0.2">
      <c r="A83" t="s">
        <v>6</v>
      </c>
      <c r="B83" s="4" t="s">
        <v>210</v>
      </c>
      <c r="C83" t="s">
        <v>12</v>
      </c>
      <c r="D83" t="str">
        <f t="shared" si="0"/>
        <v>False</v>
      </c>
      <c r="E83" t="str">
        <f t="shared" si="1"/>
        <v>True</v>
      </c>
      <c r="F83" t="s">
        <v>97</v>
      </c>
      <c r="H83" t="s">
        <v>22</v>
      </c>
      <c r="I83" t="s">
        <v>31</v>
      </c>
      <c r="J83">
        <v>70</v>
      </c>
      <c r="K83" t="s">
        <v>25</v>
      </c>
      <c r="L83">
        <v>5.6</v>
      </c>
      <c r="M83">
        <v>5.6</v>
      </c>
      <c r="N83" t="s">
        <v>299</v>
      </c>
      <c r="O83">
        <v>0.1</v>
      </c>
      <c r="P83">
        <v>179</v>
      </c>
      <c r="Q83">
        <v>600</v>
      </c>
      <c r="S83" t="s">
        <v>98</v>
      </c>
    </row>
    <row r="84" spans="1:19" x14ac:dyDescent="0.2">
      <c r="A84" t="s">
        <v>6</v>
      </c>
      <c r="B84" s="4" t="s">
        <v>211</v>
      </c>
      <c r="C84" t="s">
        <v>12</v>
      </c>
      <c r="D84" t="str">
        <f t="shared" si="0"/>
        <v>False</v>
      </c>
      <c r="E84" t="str">
        <f t="shared" si="1"/>
        <v>True</v>
      </c>
      <c r="F84" t="s">
        <v>99</v>
      </c>
      <c r="H84" t="s">
        <v>22</v>
      </c>
      <c r="I84" t="s">
        <v>31</v>
      </c>
      <c r="J84">
        <v>70</v>
      </c>
      <c r="K84" t="s">
        <v>25</v>
      </c>
      <c r="L84">
        <v>5.6</v>
      </c>
      <c r="M84">
        <v>5.6</v>
      </c>
      <c r="N84" t="s">
        <v>299</v>
      </c>
      <c r="O84">
        <v>0.1</v>
      </c>
      <c r="P84">
        <v>179</v>
      </c>
      <c r="Q84">
        <v>600</v>
      </c>
      <c r="S84" t="s">
        <v>100</v>
      </c>
    </row>
    <row r="85" spans="1:19" x14ac:dyDescent="0.2">
      <c r="A85" t="s">
        <v>6</v>
      </c>
      <c r="B85" s="4" t="s">
        <v>212</v>
      </c>
      <c r="C85" t="s">
        <v>110</v>
      </c>
      <c r="D85" t="str">
        <f t="shared" si="0"/>
        <v>False</v>
      </c>
      <c r="E85" t="str">
        <f t="shared" si="1"/>
        <v>True</v>
      </c>
      <c r="F85" t="s">
        <v>101</v>
      </c>
      <c r="H85" t="s">
        <v>22</v>
      </c>
      <c r="I85" t="s">
        <v>31</v>
      </c>
      <c r="J85">
        <v>70</v>
      </c>
      <c r="K85" t="s">
        <v>25</v>
      </c>
      <c r="L85">
        <v>5.6</v>
      </c>
      <c r="M85">
        <v>5.6</v>
      </c>
      <c r="N85" t="s">
        <v>299</v>
      </c>
      <c r="O85">
        <v>0.1</v>
      </c>
      <c r="P85">
        <v>20</v>
      </c>
      <c r="Q85">
        <v>400</v>
      </c>
      <c r="S85" t="s">
        <v>111</v>
      </c>
    </row>
    <row r="86" spans="1:19" x14ac:dyDescent="0.2">
      <c r="A86" t="s">
        <v>6</v>
      </c>
      <c r="B86" s="4" t="s">
        <v>213</v>
      </c>
      <c r="C86" t="s">
        <v>110</v>
      </c>
      <c r="D86" t="str">
        <f t="shared" si="0"/>
        <v>False</v>
      </c>
      <c r="E86" t="str">
        <f t="shared" si="1"/>
        <v>True</v>
      </c>
      <c r="F86" t="s">
        <v>102</v>
      </c>
      <c r="H86" t="s">
        <v>22</v>
      </c>
      <c r="I86" t="s">
        <v>31</v>
      </c>
      <c r="J86">
        <v>70</v>
      </c>
      <c r="K86" t="s">
        <v>25</v>
      </c>
      <c r="L86">
        <v>5.6</v>
      </c>
      <c r="M86">
        <v>5.6</v>
      </c>
      <c r="N86" t="s">
        <v>299</v>
      </c>
      <c r="O86">
        <v>0.1</v>
      </c>
      <c r="P86">
        <v>20</v>
      </c>
      <c r="Q86">
        <v>400</v>
      </c>
      <c r="S86" t="s">
        <v>112</v>
      </c>
    </row>
    <row r="87" spans="1:19" x14ac:dyDescent="0.2">
      <c r="A87" t="s">
        <v>6</v>
      </c>
      <c r="B87" s="4" t="s">
        <v>214</v>
      </c>
      <c r="C87" t="s">
        <v>110</v>
      </c>
      <c r="D87" t="str">
        <f t="shared" si="0"/>
        <v>False</v>
      </c>
      <c r="E87" t="str">
        <f t="shared" si="1"/>
        <v>True</v>
      </c>
      <c r="F87" t="s">
        <v>103</v>
      </c>
      <c r="H87" t="s">
        <v>22</v>
      </c>
      <c r="I87" t="s">
        <v>31</v>
      </c>
      <c r="J87">
        <v>70</v>
      </c>
      <c r="K87" t="s">
        <v>25</v>
      </c>
      <c r="L87">
        <v>5.6</v>
      </c>
      <c r="M87">
        <v>5.6</v>
      </c>
      <c r="N87" t="s">
        <v>299</v>
      </c>
      <c r="O87">
        <v>0.1</v>
      </c>
      <c r="P87">
        <v>20</v>
      </c>
      <c r="Q87">
        <v>400</v>
      </c>
      <c r="S87" t="s">
        <v>113</v>
      </c>
    </row>
    <row r="88" spans="1:19" x14ac:dyDescent="0.2">
      <c r="A88" t="s">
        <v>6</v>
      </c>
      <c r="B88" s="4" t="s">
        <v>215</v>
      </c>
      <c r="C88" t="s">
        <v>110</v>
      </c>
      <c r="D88" t="str">
        <f t="shared" si="0"/>
        <v>False</v>
      </c>
      <c r="E88" t="str">
        <f t="shared" si="1"/>
        <v>True</v>
      </c>
      <c r="F88" t="s">
        <v>104</v>
      </c>
      <c r="H88" t="s">
        <v>22</v>
      </c>
      <c r="I88" t="s">
        <v>31</v>
      </c>
      <c r="J88">
        <v>70</v>
      </c>
      <c r="K88" t="s">
        <v>25</v>
      </c>
      <c r="L88">
        <v>5.6</v>
      </c>
      <c r="M88">
        <v>5.6</v>
      </c>
      <c r="N88" t="s">
        <v>299</v>
      </c>
      <c r="O88">
        <v>0.1</v>
      </c>
      <c r="P88">
        <v>20</v>
      </c>
      <c r="Q88">
        <v>400</v>
      </c>
      <c r="S88" t="s">
        <v>114</v>
      </c>
    </row>
    <row r="89" spans="1:19" x14ac:dyDescent="0.2">
      <c r="A89" t="s">
        <v>6</v>
      </c>
      <c r="B89" s="4" t="s">
        <v>216</v>
      </c>
      <c r="C89" t="s">
        <v>110</v>
      </c>
      <c r="D89" t="str">
        <f t="shared" si="0"/>
        <v>False</v>
      </c>
      <c r="E89" t="str">
        <f t="shared" si="1"/>
        <v>True</v>
      </c>
      <c r="F89" t="s">
        <v>105</v>
      </c>
      <c r="H89" t="s">
        <v>22</v>
      </c>
      <c r="I89" t="s">
        <v>31</v>
      </c>
      <c r="J89">
        <v>70</v>
      </c>
      <c r="K89" t="s">
        <v>25</v>
      </c>
      <c r="L89">
        <v>5.6</v>
      </c>
      <c r="M89">
        <v>5.6</v>
      </c>
      <c r="N89" t="s">
        <v>299</v>
      </c>
      <c r="O89">
        <v>0.1</v>
      </c>
      <c r="P89">
        <v>20</v>
      </c>
      <c r="Q89">
        <v>400</v>
      </c>
      <c r="S89" t="s">
        <v>115</v>
      </c>
    </row>
    <row r="90" spans="1:19" x14ac:dyDescent="0.2">
      <c r="A90" t="s">
        <v>6</v>
      </c>
      <c r="B90" s="4" t="s">
        <v>217</v>
      </c>
      <c r="C90" t="s">
        <v>110</v>
      </c>
      <c r="D90" t="str">
        <f t="shared" si="0"/>
        <v>False</v>
      </c>
      <c r="E90" t="str">
        <f t="shared" si="1"/>
        <v>True</v>
      </c>
      <c r="F90" t="s">
        <v>106</v>
      </c>
      <c r="H90" t="s">
        <v>22</v>
      </c>
      <c r="I90" t="s">
        <v>31</v>
      </c>
      <c r="J90">
        <v>70</v>
      </c>
      <c r="K90" t="s">
        <v>25</v>
      </c>
      <c r="L90">
        <v>5.6</v>
      </c>
      <c r="M90">
        <v>5.6</v>
      </c>
      <c r="N90" t="s">
        <v>299</v>
      </c>
      <c r="O90">
        <v>0.1</v>
      </c>
      <c r="P90">
        <v>179</v>
      </c>
      <c r="Q90">
        <v>400</v>
      </c>
      <c r="S90" t="s">
        <v>116</v>
      </c>
    </row>
    <row r="91" spans="1:19" x14ac:dyDescent="0.2">
      <c r="A91" t="s">
        <v>6</v>
      </c>
      <c r="B91" s="4" t="s">
        <v>218</v>
      </c>
      <c r="C91" t="s">
        <v>110</v>
      </c>
      <c r="D91" t="str">
        <f t="shared" si="0"/>
        <v>False</v>
      </c>
      <c r="E91" t="str">
        <f t="shared" si="1"/>
        <v>True</v>
      </c>
      <c r="F91" t="s">
        <v>107</v>
      </c>
      <c r="H91" t="s">
        <v>22</v>
      </c>
      <c r="I91" t="s">
        <v>31</v>
      </c>
      <c r="J91">
        <v>70</v>
      </c>
      <c r="K91" t="s">
        <v>25</v>
      </c>
      <c r="L91">
        <v>5.6</v>
      </c>
      <c r="M91">
        <v>5.6</v>
      </c>
      <c r="N91" t="s">
        <v>299</v>
      </c>
      <c r="O91">
        <v>0.1</v>
      </c>
      <c r="P91">
        <v>179</v>
      </c>
      <c r="Q91">
        <v>400</v>
      </c>
      <c r="S91" t="s">
        <v>117</v>
      </c>
    </row>
    <row r="92" spans="1:19" x14ac:dyDescent="0.2">
      <c r="A92" t="s">
        <v>6</v>
      </c>
      <c r="B92" s="4" t="s">
        <v>219</v>
      </c>
      <c r="C92" t="s">
        <v>110</v>
      </c>
      <c r="D92" t="str">
        <f t="shared" si="0"/>
        <v>False</v>
      </c>
      <c r="E92" t="str">
        <f t="shared" si="1"/>
        <v>True</v>
      </c>
      <c r="F92" t="s">
        <v>108</v>
      </c>
      <c r="H92" t="s">
        <v>22</v>
      </c>
      <c r="I92" t="s">
        <v>31</v>
      </c>
      <c r="J92">
        <v>70</v>
      </c>
      <c r="K92" t="s">
        <v>25</v>
      </c>
      <c r="L92">
        <v>5.6</v>
      </c>
      <c r="M92">
        <v>5.6</v>
      </c>
      <c r="N92" t="s">
        <v>299</v>
      </c>
      <c r="O92">
        <v>0.1</v>
      </c>
      <c r="P92">
        <v>179</v>
      </c>
      <c r="Q92">
        <v>400</v>
      </c>
      <c r="S92" t="s">
        <v>118</v>
      </c>
    </row>
    <row r="93" spans="1:19" x14ac:dyDescent="0.2">
      <c r="A93" t="s">
        <v>6</v>
      </c>
      <c r="B93" s="4" t="s">
        <v>220</v>
      </c>
      <c r="C93" t="s">
        <v>110</v>
      </c>
      <c r="D93" t="str">
        <f t="shared" si="0"/>
        <v>False</v>
      </c>
      <c r="E93" t="str">
        <f t="shared" si="1"/>
        <v>True</v>
      </c>
      <c r="F93" t="s">
        <v>109</v>
      </c>
      <c r="H93" t="s">
        <v>22</v>
      </c>
      <c r="I93" t="s">
        <v>31</v>
      </c>
      <c r="J93">
        <v>70</v>
      </c>
      <c r="K93" t="s">
        <v>25</v>
      </c>
      <c r="L93">
        <v>5.6</v>
      </c>
      <c r="M93">
        <v>5.6</v>
      </c>
      <c r="N93" t="s">
        <v>299</v>
      </c>
      <c r="O93">
        <v>0.1</v>
      </c>
      <c r="P93">
        <v>179</v>
      </c>
      <c r="Q93">
        <v>400</v>
      </c>
      <c r="S93" t="s">
        <v>119</v>
      </c>
    </row>
  </sheetData>
  <phoneticPr fontId="1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2C8E7-7CD2-7C49-8906-A0A17A50D0D2}">
  <dimension ref="A1:N41"/>
  <sheetViews>
    <sheetView topLeftCell="A7" workbookViewId="0">
      <selection activeCell="D41" sqref="D38:D41"/>
    </sheetView>
  </sheetViews>
  <sheetFormatPr baseColWidth="10" defaultRowHeight="16" x14ac:dyDescent="0.2"/>
  <sheetData>
    <row r="1" spans="1:14" x14ac:dyDescent="0.2">
      <c r="A1" s="5" t="s">
        <v>193</v>
      </c>
      <c r="B1" s="5" t="s">
        <v>194</v>
      </c>
      <c r="C1" s="5"/>
      <c r="D1" s="5"/>
    </row>
    <row r="2" spans="1:14" x14ac:dyDescent="0.2">
      <c r="A2" s="5">
        <v>0</v>
      </c>
      <c r="B2" s="5">
        <v>0</v>
      </c>
      <c r="C2" s="5">
        <v>3</v>
      </c>
      <c r="D2" s="5">
        <f>B2-B$5</f>
        <v>7.3479999999999999</v>
      </c>
    </row>
    <row r="3" spans="1:14" x14ac:dyDescent="0.2">
      <c r="A3" s="5">
        <v>1</v>
      </c>
      <c r="B3" s="5">
        <v>-0.56969999999999998</v>
      </c>
      <c r="C3" s="5">
        <v>2</v>
      </c>
      <c r="D3" s="5">
        <f t="shared" ref="D3:D5" si="0">B3-B$5</f>
        <v>6.7782999999999998</v>
      </c>
    </row>
    <row r="4" spans="1:14" x14ac:dyDescent="0.2">
      <c r="A4" s="5">
        <v>2</v>
      </c>
      <c r="B4" s="5">
        <v>-3.1619999999999999</v>
      </c>
      <c r="C4" s="5">
        <v>1</v>
      </c>
      <c r="D4" s="5">
        <f t="shared" si="0"/>
        <v>4.1859999999999999</v>
      </c>
    </row>
    <row r="5" spans="1:14" x14ac:dyDescent="0.2">
      <c r="A5" s="5">
        <v>3</v>
      </c>
      <c r="B5">
        <v>-7.3479999999999999</v>
      </c>
      <c r="C5" s="5">
        <v>0</v>
      </c>
      <c r="D5" s="5">
        <f t="shared" si="0"/>
        <v>0</v>
      </c>
    </row>
    <row r="7" spans="1:14" x14ac:dyDescent="0.2">
      <c r="A7" s="5" t="s">
        <v>193</v>
      </c>
      <c r="B7" s="5" t="s">
        <v>195</v>
      </c>
      <c r="C7" s="5"/>
      <c r="D7" s="5"/>
      <c r="F7" s="5" t="s">
        <v>193</v>
      </c>
      <c r="G7" s="5" t="s">
        <v>195</v>
      </c>
      <c r="H7" s="5"/>
      <c r="I7" s="5"/>
      <c r="K7" s="5" t="s">
        <v>193</v>
      </c>
      <c r="L7" s="5" t="s">
        <v>195</v>
      </c>
      <c r="M7" s="5"/>
      <c r="N7" s="5"/>
    </row>
    <row r="8" spans="1:14" x14ac:dyDescent="0.2">
      <c r="A8" s="5">
        <v>0</v>
      </c>
      <c r="B8" s="5">
        <v>0</v>
      </c>
      <c r="C8" s="5">
        <v>3</v>
      </c>
      <c r="D8" s="5">
        <f>B8-B$11</f>
        <v>8.1859999999999999</v>
      </c>
      <c r="F8" s="5">
        <v>0</v>
      </c>
      <c r="G8" s="5">
        <v>0</v>
      </c>
      <c r="H8" s="5">
        <v>3</v>
      </c>
      <c r="I8" s="5">
        <f>G8-G$11</f>
        <v>7.8040000000000003</v>
      </c>
      <c r="K8" s="5">
        <v>0</v>
      </c>
      <c r="L8" s="5">
        <v>0</v>
      </c>
      <c r="M8" s="5">
        <v>3</v>
      </c>
      <c r="N8" s="5">
        <f>L8-L$11</f>
        <v>7.6760000000000002</v>
      </c>
    </row>
    <row r="9" spans="1:14" x14ac:dyDescent="0.2">
      <c r="A9" s="5">
        <v>1</v>
      </c>
      <c r="B9" s="5">
        <v>-0.70330000000000004</v>
      </c>
      <c r="C9" s="5">
        <v>2</v>
      </c>
      <c r="D9" s="5">
        <f t="shared" ref="D9:D11" si="1">B9-B$11</f>
        <v>7.4826999999999995</v>
      </c>
      <c r="F9" s="5">
        <v>1</v>
      </c>
      <c r="G9" s="5">
        <v>-0.68330000000000002</v>
      </c>
      <c r="H9" s="5">
        <v>2</v>
      </c>
      <c r="I9" s="5">
        <f t="shared" ref="I9:I11" si="2">G9-G$11</f>
        <v>7.1207000000000003</v>
      </c>
      <c r="K9" s="5">
        <v>1</v>
      </c>
      <c r="L9">
        <v>-0.70050000000000001</v>
      </c>
      <c r="M9" s="5">
        <v>2</v>
      </c>
      <c r="N9" s="5">
        <f t="shared" ref="N9:N11" si="3">L9-L$11</f>
        <v>6.9755000000000003</v>
      </c>
    </row>
    <row r="10" spans="1:14" x14ac:dyDescent="0.2">
      <c r="A10" s="5">
        <v>2</v>
      </c>
      <c r="B10" s="5">
        <v>-2.7290000000000001</v>
      </c>
      <c r="C10" s="5">
        <v>1</v>
      </c>
      <c r="D10" s="5">
        <f t="shared" si="1"/>
        <v>5.4569999999999999</v>
      </c>
      <c r="F10" s="5">
        <v>2</v>
      </c>
      <c r="G10" s="5">
        <v>-2.391</v>
      </c>
      <c r="H10" s="5">
        <v>1</v>
      </c>
      <c r="I10" s="5">
        <f t="shared" si="2"/>
        <v>5.4130000000000003</v>
      </c>
      <c r="K10" s="5">
        <v>2</v>
      </c>
      <c r="L10">
        <v>-2.4</v>
      </c>
      <c r="M10" s="5">
        <v>1</v>
      </c>
      <c r="N10" s="5">
        <f t="shared" si="3"/>
        <v>5.2759999999999998</v>
      </c>
    </row>
    <row r="11" spans="1:14" x14ac:dyDescent="0.2">
      <c r="A11" s="5">
        <v>3</v>
      </c>
      <c r="B11">
        <v>-8.1859999999999999</v>
      </c>
      <c r="C11" s="5">
        <v>0</v>
      </c>
      <c r="D11" s="5">
        <f t="shared" si="1"/>
        <v>0</v>
      </c>
      <c r="F11" s="5">
        <v>3</v>
      </c>
      <c r="G11">
        <v>-7.8040000000000003</v>
      </c>
      <c r="H11" s="5">
        <v>0</v>
      </c>
      <c r="I11" s="5">
        <f t="shared" si="2"/>
        <v>0</v>
      </c>
      <c r="K11" s="5">
        <v>3</v>
      </c>
      <c r="L11">
        <v>-7.6760000000000002</v>
      </c>
      <c r="M11" s="5">
        <v>0</v>
      </c>
      <c r="N11" s="5">
        <f t="shared" si="3"/>
        <v>0</v>
      </c>
    </row>
    <row r="13" spans="1:14" x14ac:dyDescent="0.2">
      <c r="A13" s="5" t="s">
        <v>193</v>
      </c>
      <c r="B13" s="5" t="s">
        <v>192</v>
      </c>
      <c r="C13" s="5"/>
      <c r="D13" s="5"/>
    </row>
    <row r="14" spans="1:14" x14ac:dyDescent="0.2">
      <c r="A14" s="5">
        <v>0</v>
      </c>
      <c r="B14" s="5">
        <v>0</v>
      </c>
      <c r="C14" s="5">
        <v>3</v>
      </c>
      <c r="D14" s="5">
        <f>B14-B$17</f>
        <v>7.2270000000000003</v>
      </c>
    </row>
    <row r="15" spans="1:14" x14ac:dyDescent="0.2">
      <c r="A15" s="5">
        <v>1</v>
      </c>
      <c r="B15" s="5">
        <v>-0.66149999999999998</v>
      </c>
      <c r="C15" s="5">
        <v>2</v>
      </c>
      <c r="D15" s="5">
        <f t="shared" ref="D15:D17" si="4">B15-B$17</f>
        <v>6.5655000000000001</v>
      </c>
    </row>
    <row r="16" spans="1:14" x14ac:dyDescent="0.2">
      <c r="A16" s="5">
        <v>2</v>
      </c>
      <c r="B16" s="5">
        <v>-2.57</v>
      </c>
      <c r="C16" s="5">
        <v>1</v>
      </c>
      <c r="D16" s="5">
        <f t="shared" si="4"/>
        <v>4.657</v>
      </c>
    </row>
    <row r="17" spans="1:4" x14ac:dyDescent="0.2">
      <c r="A17" s="5">
        <v>3</v>
      </c>
      <c r="B17">
        <v>-7.2270000000000003</v>
      </c>
      <c r="C17" s="5">
        <v>0</v>
      </c>
      <c r="D17" s="5">
        <f t="shared" si="4"/>
        <v>0</v>
      </c>
    </row>
    <row r="19" spans="1:4" x14ac:dyDescent="0.2">
      <c r="A19" s="5" t="s">
        <v>193</v>
      </c>
      <c r="B19" s="5" t="s">
        <v>196</v>
      </c>
      <c r="C19" s="5"/>
      <c r="D19" s="5"/>
    </row>
    <row r="20" spans="1:4" x14ac:dyDescent="0.2">
      <c r="A20" s="5">
        <v>0</v>
      </c>
      <c r="B20" s="5">
        <v>0</v>
      </c>
      <c r="C20" s="5">
        <v>3</v>
      </c>
      <c r="D20" s="5">
        <f>B20-B$23</f>
        <v>7.3470000000000004</v>
      </c>
    </row>
    <row r="21" spans="1:4" x14ac:dyDescent="0.2">
      <c r="A21" s="5">
        <v>1</v>
      </c>
      <c r="B21">
        <v>-1.5289999999999999</v>
      </c>
      <c r="C21" s="5">
        <v>2</v>
      </c>
      <c r="D21" s="5">
        <f t="shared" ref="D21:D23" si="5">B21-B$23</f>
        <v>5.8180000000000005</v>
      </c>
    </row>
    <row r="22" spans="1:4" x14ac:dyDescent="0.2">
      <c r="A22" s="5">
        <v>2</v>
      </c>
      <c r="B22">
        <v>-4.0179999999999998</v>
      </c>
      <c r="C22" s="5">
        <v>1</v>
      </c>
      <c r="D22" s="5">
        <f t="shared" si="5"/>
        <v>3.3290000000000006</v>
      </c>
    </row>
    <row r="23" spans="1:4" x14ac:dyDescent="0.2">
      <c r="A23" s="5">
        <v>3</v>
      </c>
      <c r="B23">
        <v>-7.3470000000000004</v>
      </c>
      <c r="C23" s="5">
        <v>0</v>
      </c>
      <c r="D23" s="5">
        <f t="shared" si="5"/>
        <v>0</v>
      </c>
    </row>
    <row r="25" spans="1:4" x14ac:dyDescent="0.2">
      <c r="A25" s="5" t="s">
        <v>193</v>
      </c>
      <c r="B25" s="5" t="s">
        <v>197</v>
      </c>
      <c r="C25" s="5"/>
      <c r="D25" s="5"/>
    </row>
    <row r="26" spans="1:4" x14ac:dyDescent="0.2">
      <c r="A26" s="5">
        <v>0</v>
      </c>
      <c r="B26" s="5">
        <v>0</v>
      </c>
      <c r="C26" s="5">
        <v>3</v>
      </c>
      <c r="D26" s="5">
        <f>B26-B$29</f>
        <v>7.0279999999999996</v>
      </c>
    </row>
    <row r="27" spans="1:4" x14ac:dyDescent="0.2">
      <c r="A27" s="5">
        <v>1</v>
      </c>
      <c r="B27">
        <v>-1.706</v>
      </c>
      <c r="C27" s="5">
        <v>2</v>
      </c>
      <c r="D27" s="5">
        <f t="shared" ref="D27:D29" si="6">B27-B$29</f>
        <v>5.3219999999999992</v>
      </c>
    </row>
    <row r="28" spans="1:4" x14ac:dyDescent="0.2">
      <c r="A28" s="5">
        <v>2</v>
      </c>
      <c r="B28">
        <v>-3.6179999999999999</v>
      </c>
      <c r="C28" s="5">
        <v>1</v>
      </c>
      <c r="D28" s="5">
        <f t="shared" si="6"/>
        <v>3.4099999999999997</v>
      </c>
    </row>
    <row r="29" spans="1:4" x14ac:dyDescent="0.2">
      <c r="A29" s="5">
        <v>3</v>
      </c>
      <c r="B29">
        <v>-7.0279999999999996</v>
      </c>
      <c r="C29" s="5">
        <v>0</v>
      </c>
      <c r="D29" s="5">
        <f t="shared" si="6"/>
        <v>0</v>
      </c>
    </row>
    <row r="31" spans="1:4" x14ac:dyDescent="0.2">
      <c r="A31" s="5" t="s">
        <v>193</v>
      </c>
      <c r="B31" s="5" t="s">
        <v>198</v>
      </c>
      <c r="C31" s="5"/>
      <c r="D31" s="5"/>
    </row>
    <row r="32" spans="1:4" x14ac:dyDescent="0.2">
      <c r="A32" s="5">
        <v>0</v>
      </c>
      <c r="B32" s="5">
        <v>0</v>
      </c>
      <c r="C32" s="5">
        <v>3</v>
      </c>
      <c r="D32" s="5">
        <f>B32-B$35</f>
        <v>7.0119999999999996</v>
      </c>
    </row>
    <row r="33" spans="1:4" x14ac:dyDescent="0.2">
      <c r="A33" s="5">
        <v>1</v>
      </c>
      <c r="B33">
        <v>-0.71189999999999998</v>
      </c>
      <c r="C33" s="5">
        <v>2</v>
      </c>
      <c r="D33" s="5">
        <f t="shared" ref="D33:D35" si="7">B33-B$35</f>
        <v>6.3000999999999996</v>
      </c>
    </row>
    <row r="34" spans="1:4" x14ac:dyDescent="0.2">
      <c r="A34" s="5">
        <v>2</v>
      </c>
      <c r="B34">
        <v>-2.3660000000000001</v>
      </c>
      <c r="C34" s="5">
        <v>1</v>
      </c>
      <c r="D34" s="5">
        <f t="shared" si="7"/>
        <v>4.645999999999999</v>
      </c>
    </row>
    <row r="35" spans="1:4" x14ac:dyDescent="0.2">
      <c r="A35" s="5">
        <v>3</v>
      </c>
      <c r="B35">
        <v>-7.0119999999999996</v>
      </c>
      <c r="C35" s="5">
        <v>0</v>
      </c>
      <c r="D35" s="5">
        <f t="shared" si="7"/>
        <v>0</v>
      </c>
    </row>
    <row r="37" spans="1:4" x14ac:dyDescent="0.2">
      <c r="A37" s="5" t="s">
        <v>193</v>
      </c>
      <c r="B37" s="5" t="s">
        <v>199</v>
      </c>
      <c r="C37" s="5"/>
      <c r="D37" s="5"/>
    </row>
    <row r="38" spans="1:4" x14ac:dyDescent="0.2">
      <c r="A38" s="5">
        <v>0</v>
      </c>
      <c r="B38" s="5">
        <v>0</v>
      </c>
      <c r="C38" s="5">
        <v>3</v>
      </c>
      <c r="D38" s="5">
        <f>B38-B$41</f>
        <v>7.2759999999999998</v>
      </c>
    </row>
    <row r="39" spans="1:4" x14ac:dyDescent="0.2">
      <c r="A39" s="5">
        <v>1</v>
      </c>
      <c r="B39">
        <v>-1.224</v>
      </c>
      <c r="C39" s="5">
        <v>2</v>
      </c>
      <c r="D39" s="5">
        <f t="shared" ref="D39:D41" si="8">B39-B$41</f>
        <v>6.0519999999999996</v>
      </c>
    </row>
    <row r="40" spans="1:4" x14ac:dyDescent="0.2">
      <c r="A40" s="5">
        <v>2</v>
      </c>
      <c r="B40">
        <v>-3.8570000000000002</v>
      </c>
      <c r="C40" s="5">
        <v>1</v>
      </c>
      <c r="D40" s="5">
        <f t="shared" si="8"/>
        <v>3.4189999999999996</v>
      </c>
    </row>
    <row r="41" spans="1:4" x14ac:dyDescent="0.2">
      <c r="A41" s="5">
        <v>3</v>
      </c>
      <c r="B41">
        <v>-7.2759999999999998</v>
      </c>
      <c r="C41" s="5">
        <v>0</v>
      </c>
      <c r="D41" s="5">
        <f t="shared" si="8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PA_F427A_70_mv_guesthost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Krantz</dc:creator>
  <cp:lastModifiedBy>Bryan Krantz</cp:lastModifiedBy>
  <dcterms:created xsi:type="dcterms:W3CDTF">2025-06-25T20:11:04Z</dcterms:created>
  <dcterms:modified xsi:type="dcterms:W3CDTF">2026-07-23T12:48:30Z</dcterms:modified>
</cp:coreProperties>
</file>