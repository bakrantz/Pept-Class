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database/"/>
    </mc:Choice>
  </mc:AlternateContent>
  <xr:revisionPtr revIDLastSave="0" documentId="13_ncr:1_{641CA8AA-C99A-BA48-84A7-59FEA29C7D50}" xr6:coauthVersionLast="47" xr6:coauthVersionMax="47" xr10:uidLastSave="{00000000-0000-0000-0000-000000000000}"/>
  <bookViews>
    <workbookView xWindow="1100" yWindow="820" windowWidth="28040" windowHeight="17440" xr2:uid="{771C88DF-88B2-E348-BE11-2567F4397102}"/>
  </bookViews>
  <sheets>
    <sheet name="PA_F427Y_70_mv_guestho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D28" i="2"/>
  <c r="D29" i="2"/>
  <c r="D26" i="2"/>
  <c r="D21" i="2"/>
  <c r="D22" i="2"/>
  <c r="D23" i="2"/>
  <c r="D20" i="2"/>
  <c r="D15" i="2"/>
  <c r="D16" i="2"/>
  <c r="D17" i="2"/>
  <c r="D14" i="2"/>
  <c r="D9" i="2"/>
  <c r="D10" i="2"/>
  <c r="D11" i="2"/>
  <c r="D8" i="2"/>
  <c r="D3" i="2"/>
  <c r="D4" i="2"/>
  <c r="D5" i="2"/>
  <c r="D2" i="2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E16" i="1"/>
  <c r="D16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E39" i="1"/>
  <c r="D39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63" i="1"/>
  <c r="E63" i="1"/>
  <c r="E87" i="1"/>
  <c r="D87" i="1"/>
  <c r="E86" i="1"/>
  <c r="D86" i="1"/>
  <c r="E85" i="1"/>
  <c r="D85" i="1"/>
  <c r="E84" i="1"/>
  <c r="D84" i="1"/>
  <c r="E83" i="1"/>
  <c r="D83" i="1"/>
  <c r="D91" i="1"/>
  <c r="E91" i="1"/>
  <c r="D92" i="1"/>
  <c r="E92" i="1"/>
  <c r="D93" i="1"/>
  <c r="E93" i="1"/>
  <c r="E101" i="1"/>
  <c r="D101" i="1"/>
  <c r="E100" i="1"/>
  <c r="D100" i="1"/>
  <c r="E99" i="1"/>
  <c r="D99" i="1"/>
  <c r="E98" i="1"/>
  <c r="D98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97" i="1"/>
  <c r="D97" i="1"/>
  <c r="E96" i="1"/>
  <c r="D96" i="1"/>
  <c r="E95" i="1"/>
  <c r="D95" i="1"/>
  <c r="E94" i="1"/>
  <c r="D94" i="1"/>
  <c r="E90" i="1"/>
  <c r="D90" i="1"/>
  <c r="E89" i="1"/>
  <c r="D89" i="1"/>
  <c r="E82" i="1"/>
  <c r="D82" i="1"/>
  <c r="E81" i="1"/>
  <c r="D81" i="1"/>
  <c r="E80" i="1"/>
  <c r="D80" i="1"/>
  <c r="E79" i="1"/>
  <c r="D79" i="1"/>
  <c r="E78" i="1"/>
  <c r="D78" i="1"/>
  <c r="E62" i="1"/>
  <c r="D62" i="1"/>
  <c r="E61" i="1"/>
  <c r="D61" i="1"/>
  <c r="D60" i="1"/>
  <c r="E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15" i="1"/>
  <c r="D15" i="1"/>
  <c r="D12" i="1"/>
  <c r="E12" i="1"/>
  <c r="D13" i="1"/>
  <c r="E13" i="1"/>
  <c r="D14" i="1"/>
  <c r="E14" i="1"/>
  <c r="D10" i="1"/>
  <c r="E10" i="1"/>
  <c r="D11" i="1"/>
  <c r="E11" i="1"/>
  <c r="E9" i="1"/>
  <c r="D9" i="1"/>
  <c r="D7" i="1"/>
  <c r="E7" i="1"/>
  <c r="D8" i="1"/>
  <c r="E8" i="1"/>
  <c r="E6" i="1"/>
  <c r="D6" i="1"/>
  <c r="E5" i="1"/>
  <c r="D5" i="1"/>
  <c r="E4" i="1"/>
  <c r="D4" i="1"/>
  <c r="E3" i="1"/>
  <c r="D3" i="1"/>
  <c r="E2" i="1"/>
  <c r="D2" i="1"/>
  <c r="E102" i="1"/>
  <c r="D102" i="1"/>
  <c r="E88" i="1"/>
  <c r="D88" i="1"/>
</calcChain>
</file>

<file path=xl/sharedStrings.xml><?xml version="1.0" encoding="utf-8"?>
<sst xmlns="http://schemas.openxmlformats.org/spreadsheetml/2006/main" count="985" uniqueCount="364">
  <si>
    <t>guesthost_Ala</t>
  </si>
  <si>
    <t>guesthost_Leu</t>
  </si>
  <si>
    <t>guesthost_Phe</t>
  </si>
  <si>
    <t>guesthost_Thr</t>
  </si>
  <si>
    <t>guesthost_Trp</t>
  </si>
  <si>
    <t>guesthost_TrpDL</t>
  </si>
  <si>
    <t>guesthost_Tyr</t>
  </si>
  <si>
    <t>peptide_name</t>
  </si>
  <si>
    <t>peptide_conc</t>
  </si>
  <si>
    <t>raw_data_file</t>
  </si>
  <si>
    <t>time_sampling</t>
  </si>
  <si>
    <t>user</t>
  </si>
  <si>
    <t>jmcolby</t>
  </si>
  <si>
    <t>voltage</t>
  </si>
  <si>
    <t>comments</t>
  </si>
  <si>
    <t>nanopore_name</t>
  </si>
  <si>
    <t>peptide_sequence</t>
  </si>
  <si>
    <t>KKKKKAASAA</t>
  </si>
  <si>
    <t>KKKKKLLSLL</t>
  </si>
  <si>
    <t>KKKKKFFSFF</t>
  </si>
  <si>
    <t>KKKKKTTSTT</t>
  </si>
  <si>
    <t>KKKKKWWSWW</t>
  </si>
  <si>
    <t>KKKKKYYSYY</t>
  </si>
  <si>
    <t>KkKkKwWsWw</t>
  </si>
  <si>
    <t>buffer</t>
  </si>
  <si>
    <t>SCB</t>
  </si>
  <si>
    <t>data_file</t>
  </si>
  <si>
    <t>data_path</t>
  </si>
  <si>
    <t>simulation</t>
  </si>
  <si>
    <t>experimental</t>
  </si>
  <si>
    <t>added_noise</t>
  </si>
  <si>
    <t>PA_F427Y</t>
  </si>
  <si>
    <t>11826000.abf - but cannot locate it</t>
  </si>
  <si>
    <t>11826000-guesthost_Ala-70_mV-F427Y-600_Hz.atf</t>
  </si>
  <si>
    <t>11826001-guesthost_Ala-70_mV-F427Y-600_Hz-rpt_1.atf</t>
  </si>
  <si>
    <t>11826001.abf - but cannot locate it</t>
  </si>
  <si>
    <t>11826001-guesthost_Ala-70_mV-F427Y-600_Hz-rpt_2.atf</t>
  </si>
  <si>
    <t>11826001-guesthost_Ala-70_mV-F427Y-600_Hz-rpt_3.atf</t>
  </si>
  <si>
    <t>11826001-guesthost_Ala-70_mV-F427Y-600_Hz-rpt_4.atf</t>
  </si>
  <si>
    <t>11826001-guesthost_Ala-70_mV-F427Y-600_Hz-rpt_5.atf</t>
  </si>
  <si>
    <t>11826001-guesthost_Ala-70_mV-F427Y-600_Hz-rpt_6.atf</t>
  </si>
  <si>
    <t>11826002.abf - but cannot locate it</t>
  </si>
  <si>
    <t>11826002-guesthost_Ala-70_mV-F427Y-600_Hz-rpt_1.atf</t>
  </si>
  <si>
    <t>11826001-guesthost_Ala-70_mV-F427Y-600_Hz-rpt_7.atf</t>
  </si>
  <si>
    <t>11826002-guesthost_Ala-70_mV-F427Y-600_Hz-rpt_2.atf</t>
  </si>
  <si>
    <t>11826002-guesthost_Ala-70_mV-F427Y-600_Hz-rpt_3.atf</t>
  </si>
  <si>
    <t>11826002-guesthost_Ala-70_mV-F427Y-600_Hz-rpt_4.atf</t>
  </si>
  <si>
    <t>11826002-guesthost_Ala-70_mV-F427Y-600_Hz-rpt_5.atf</t>
  </si>
  <si>
    <t>11826002-guesthost_Ala-70_mV-F427Y-600_Hz-rpt_6.atf</t>
  </si>
  <si>
    <t>11823003-guesthost_Leu-70_mV-F427Y-500_Hz.atf</t>
  </si>
  <si>
    <t>11823003.abf - but cannot locate it</t>
  </si>
  <si>
    <t>11823004-guesthost_Leu-70_mV-F427Y-500_Hz-rpt_1.atf</t>
  </si>
  <si>
    <t>11823004.abf - but cannot locate it</t>
  </si>
  <si>
    <t>11823004-guesthost_Leu-70_mV-F427Y-500_Hz-rpt_2.atf</t>
  </si>
  <si>
    <t>11823005-guesthost_Leu-70_mV-F427Y-500_Hz.atf</t>
  </si>
  <si>
    <t>11823005.abf - but cannot locate it</t>
  </si>
  <si>
    <t>11823006-guesthost_Leu-70_mV-F427Y-500_Hz-rpt_1.atf</t>
  </si>
  <si>
    <t>11823006-guesthost_Leu-70_mV-F427Y-500_Hz-rpt_2.atf</t>
  </si>
  <si>
    <t>11823006-guesthost_Leu-70_mV-F427Y-500_Hz-rpt_3.atf</t>
  </si>
  <si>
    <t>11823006-guesthost_Leu-70_mV-F427Y-500_Hz-rpt_4.atf</t>
  </si>
  <si>
    <t>11823006-guesthost_Leu-70_mV-F427Y-500_Hz-rpt_5.atf</t>
  </si>
  <si>
    <t>11823006.abf - but cannot locate it</t>
  </si>
  <si>
    <t>11819003.abf - but cannot locate it</t>
  </si>
  <si>
    <t>11819003-guesthost_Phe-70_mV-F427Y-500_Hz-rpt_1.atf</t>
  </si>
  <si>
    <t>11819003-guesthost_Phe-70_mV-F427Y-500_Hz-rpt_2.atf</t>
  </si>
  <si>
    <t>11819003-guesthost_Phe-70_mV-F427Y-500_Hz-rpt_3.atf</t>
  </si>
  <si>
    <t>11819003-guesthost_Phe-70_mV-F427Y-500_Hz-rpt_4.atf</t>
  </si>
  <si>
    <t>11819003-guesthost_Phe-70_mV-F427Y-500_Hz-rpt_5.atf</t>
  </si>
  <si>
    <t>11819003-guesthost_Phe-70_mV-F427Y-500_Hz-rpt_6.atf</t>
  </si>
  <si>
    <t>11819003-guesthost_Phe-70_mV-F427Y-500_Hz-rpt_7.atf</t>
  </si>
  <si>
    <t>11819003-guesthost_Phe-70_mV-F427Y-500_Hz-rpt_8.atf</t>
  </si>
  <si>
    <t>11819003-guesthost_Phe-70_mV-F427Y-500_Hz-rpt_9.atf</t>
  </si>
  <si>
    <t>11823000-guesthost_Phe-70_mV-F427Y-500_Hz.atf</t>
  </si>
  <si>
    <t>11823000.abf - but cannot locate it</t>
  </si>
  <si>
    <t>11823001-guesthost_Phe-70_mV-F427Y-500_Hz-rpt_1.atf</t>
  </si>
  <si>
    <t>11823001-guesthost_Phe-70_mV-F427Y-500_Hz-rpt_2.atf</t>
  </si>
  <si>
    <t>11823001.abf - but cannot locate it</t>
  </si>
  <si>
    <t>11823001-guesthost_Phe-70_mV-F427Y-500_Hz-rpt_3.atf</t>
  </si>
  <si>
    <t>11823002-guesthost_Phe-70_mV-F427Y-500_Hz-rpt_1.atf</t>
  </si>
  <si>
    <t>11823002.abf - but cannot locate it</t>
  </si>
  <si>
    <t>11823002-guesthost_Phe-70_mV-F427Y-500_Hz-rpt_2.atf</t>
  </si>
  <si>
    <t>11824003.abf - but cannot locate it</t>
  </si>
  <si>
    <t>11824003-guesthost_Thr-70_mV-F427Y-600_Hz-rpt-1.atf</t>
  </si>
  <si>
    <t>11824003-guesthost_Thr-70_mV-F427Y-600_Hz-rpt-2.atf</t>
  </si>
  <si>
    <t>11824003-guesthost_Thr-70_mV-F427Y-600_Hz-rpt-3.atf</t>
  </si>
  <si>
    <t>11824004-guesthost_Thr-70_mV-F427Y-600_Hz.atf</t>
  </si>
  <si>
    <t>11824004.abf - but cannot locate it</t>
  </si>
  <si>
    <t>11824005-guesthost_Thr-70_mV-F427Y-600_Hz.atf</t>
  </si>
  <si>
    <t>11824005.abf - but cannot locate it</t>
  </si>
  <si>
    <t>11817000.abf - but cannot locate it</t>
  </si>
  <si>
    <t>11817000-guesthost_Trp-70_mV-F427Y-500_Hz-rpt_1.atf</t>
  </si>
  <si>
    <t>11817000-guesthost_Trp-70_mV-F427Y-500_Hz-rpt_2.atf</t>
  </si>
  <si>
    <t>11817002-guesthost_Trp-70_mV-F427Y-500_Hz.atf</t>
  </si>
  <si>
    <t>11817002.abf - but cannot locate it</t>
  </si>
  <si>
    <t xml:space="preserve">11819000.abf - but cannot locate it </t>
  </si>
  <si>
    <t>11819000-guesthost_TrpDL-70_mV-F427Y-500_Hz.atf</t>
  </si>
  <si>
    <t>11819001-guesthost_TrpDL-70_mV-F427Y-500_Hz-rpt_1.atf</t>
  </si>
  <si>
    <t xml:space="preserve">11819001.abf - but cannot locate it </t>
  </si>
  <si>
    <t>11819001-guesthost_TrpDL-70_mV-F427Y-500_Hz-rpt_2.atf</t>
  </si>
  <si>
    <t>11819002-guesthost_TrpDL-70_mV-F427Y-500_Hz.atf</t>
  </si>
  <si>
    <t xml:space="preserve">11819002.abf - but cannot locate it </t>
  </si>
  <si>
    <t>11d05001.abf</t>
  </si>
  <si>
    <t>11d05001-guesthost_Tyr-70_mV-F427Y-600_Hz-rpt_1.atf</t>
  </si>
  <si>
    <t>11d05001-guesthost_Tyr-70_mV-F427Y-600_Hz-rpt_2.atf</t>
  </si>
  <si>
    <t>11d06001.abf</t>
  </si>
  <si>
    <t>11d06001-guesthost_Tyr-70_mV-F427Y-600_Hz-rpt_1.atf</t>
  </si>
  <si>
    <t>11d06001-guesthost_Tyr-70_mV-F427Y-600_Hz-rpt_2.atf</t>
  </si>
  <si>
    <t>11d06001-guesthost_Tyr-70_mV-F427Y-600_Hz-rpt_3.atf</t>
  </si>
  <si>
    <t>11d06003.abf</t>
  </si>
  <si>
    <t>11d06003-guesthost_Tyr-70_mV-F427Y-600_Hz.atf</t>
  </si>
  <si>
    <t>11824000-guesthost_Tyr-70_mV-F427Y-600_Hz-rpt_1.atf</t>
  </si>
  <si>
    <t>11824000-guesthost_Tyr-70_mV-F427Y-600_Hz-rpt_2.atf</t>
  </si>
  <si>
    <t>11824001-guesthost_Tyr-70_mV-F427Y-600_Hz.atf</t>
  </si>
  <si>
    <t xml:space="preserve">11824000.abf - but cannot locate it </t>
  </si>
  <si>
    <t xml:space="preserve">11824001.abf - but cannot locate it </t>
  </si>
  <si>
    <t>11824002-guesthost_Tyr-70_mV-F427Y-600_Hz.atf</t>
  </si>
  <si>
    <t xml:space="preserve">11824002.abf - but cannot locate it </t>
  </si>
  <si>
    <t>bakrantz</t>
  </si>
  <si>
    <t>downsampled 11d05001-guesthost_Tyr-70_mV-F427Y-600_Hz-rpt_1.atf</t>
  </si>
  <si>
    <t>downsampled 11d05001-guesthost_Tyr-70_mV-F427Y-600_Hz-rpt_2.atf</t>
  </si>
  <si>
    <t>downsampled 11d06001-guesthost_Tyr-70_mV-F427Y-600_Hz-rpt_1.atf</t>
  </si>
  <si>
    <t>downsampled 11d06001-guesthost_Tyr-70_mV-F427Y-600_Hz-rpt_2.atf</t>
  </si>
  <si>
    <t>downsampled 11d06001-guesthost_Tyr-70_mV-F427Y-600_Hz-rpt_3.atf</t>
  </si>
  <si>
    <t>downsampled 11d06003-guesthost_Tyr-70_mV-F427Y-600_Hz.atf</t>
  </si>
  <si>
    <t>downsampled 11824000-guesthost_Tyr-70_mV-F427Y-600_Hz-rpt_1.atf</t>
  </si>
  <si>
    <t>downsampled 11824000-guesthost_Tyr-70_mV-F427Y-600_Hz-rpt_2.atf</t>
  </si>
  <si>
    <t>downsampled 11824001-guesthost_Tyr-70_mV-F427Y-600_Hz.atf</t>
  </si>
  <si>
    <t>downsampled 11824002-guesthost_Tyr-70_mV-F427Y-600_Hz.atf</t>
  </si>
  <si>
    <t>11d05001-guesthost_Tyr-70_mV-F427Y-400_Hz-downsampled-rpt_1.atf</t>
  </si>
  <si>
    <t>11d05001-guesthost_Tyr-70_mV-F427Y-400_Hz-downsampled-rpt_2.atf</t>
  </si>
  <si>
    <t>11d06001-guesthost_Tyr-70_mV-F427Y-400_Hz-downsampled-rpt_1.atf</t>
  </si>
  <si>
    <t>11d06001-guesthost_Tyr-70_mV-F427Y-400_Hz-downsampled-rpt_2.atf</t>
  </si>
  <si>
    <t>11d06001-guesthost_Tyr-70_mV-F427Y-400_Hz-downsampled-rpt_3.atf</t>
  </si>
  <si>
    <t>11d06003-guesthost_Tyr-70_mV-F427Y-400_Hz-downsampled.atf</t>
  </si>
  <si>
    <t>11824000-guesthost_Tyr-70_mV-F427Y-400_Hz-downsampled-rpt_1.atf</t>
  </si>
  <si>
    <t>11824000-guesthost_Tyr-70_mV-F427Y-400_Hz-downsampled-rpt_2.atf</t>
  </si>
  <si>
    <t>11824001-guesthost_Tyr-70_mV-F427Y-400_Hz-downsampled.atf</t>
  </si>
  <si>
    <t>11824002-guesthost_Tyr-70_mV-F427Y-400_Hz-downsampled.atf</t>
  </si>
  <si>
    <t>11819000-guesthost_TrpDL-70_mV-F427Y-400_Hz-downsampled.atf</t>
  </si>
  <si>
    <t>11819001-guesthost_TrpDL-70_mV-F427Y-400_Hz-downsampled-rpt_1.atf</t>
  </si>
  <si>
    <t>11819001-guesthost_TrpDL-70_mV-F427Y-400_Hz-downsampled-rpt_2.atf</t>
  </si>
  <si>
    <t>11819002-guesthost_TrpDL-70_mV-F427Y-400_Hz-downsampled.atf</t>
  </si>
  <si>
    <t>downsampled 11819000-guesthost_TrpDL-70_mV-F427Y-500_Hz.atf</t>
  </si>
  <si>
    <t>downsampled 11819001-guesthost_TrpDL-70_mV-F427Y-500_Hz-rpt_1.atf</t>
  </si>
  <si>
    <t>downsampled 11819001-guesthost_TrpDL-70_mV-F427Y-500_Hz-rpt_2.atf</t>
  </si>
  <si>
    <t>downsampled 11819002-guesthost_TrpDL-70_mV-F427Y-500_Hz.atf</t>
  </si>
  <si>
    <t>11817000-guesthost_Trp-70_mV-F427Y-400_Hz-downsampled-rpt_1.atf</t>
  </si>
  <si>
    <t>11817000-guesthost_Trp-70_mV-F427Y-400_Hz-downsampled-rpt_2.atf</t>
  </si>
  <si>
    <t>11817002-guesthost_Trp-70_mV-F427Y-400_Hz-downsampled.atf</t>
  </si>
  <si>
    <t>downsampled 11817000-guesthost_Trp-70_mV-F427Y-500_Hz-rpt_1.atf</t>
  </si>
  <si>
    <t>downsampled 11817000-guesthost_Trp-70_mV-F427Y-500_Hz-rpt_2.atf</t>
  </si>
  <si>
    <t>downsampled 11817002-guesthost_Trp-70_mV-F427Y-500_Hz.atf</t>
  </si>
  <si>
    <t>11824003-guesthost_Thr-70_mV-F427Y-400_Hz-downsampled-rpt-1.atf</t>
  </si>
  <si>
    <t>11824003-guesthost_Thr-70_mV-F427Y-400_Hz-downsampled-rpt-2.atf</t>
  </si>
  <si>
    <t>11824003-guesthost_Thr-70_mV-F427Y-400_Hz-downsampled-rpt-3.atf</t>
  </si>
  <si>
    <t>11824004-guesthost_Thr-70_mV-F427Y-400_Hz-downsampled.atf</t>
  </si>
  <si>
    <t>11824005-guesthost_Thr-70_mV-F427Y-400_Hz-downsampled.atf</t>
  </si>
  <si>
    <t>downsampled 11824003-guesthost_Thr-70_mV-F427Y-600_Hz-rpt-1.atf</t>
  </si>
  <si>
    <t>downsampled 11824003-guesthost_Thr-70_mV-F427Y-600_Hz-rpt-2.atf</t>
  </si>
  <si>
    <t>downsampled 11824003-guesthost_Thr-70_mV-F427Y-600_Hz-rpt-3.atf</t>
  </si>
  <si>
    <t>downsampled 11824004-guesthost_Thr-70_mV-F427Y-600_Hz.atf</t>
  </si>
  <si>
    <t>downsampled 11824005-guesthost_Thr-70_mV-F427Y-600_Hz.atf</t>
  </si>
  <si>
    <t>11819003-guesthost_Phe-70_mV-F427Y-400_Hz-downsampled-rpt_1.atf</t>
  </si>
  <si>
    <t>11819003-guesthost_Phe-70_mV-F427Y-400_Hz-downsampled-rpt_2.atf</t>
  </si>
  <si>
    <t>11819003-guesthost_Phe-70_mV-F427Y-400_Hz-downsampled-rpt_3.atf</t>
  </si>
  <si>
    <t>11819003-guesthost_Phe-70_mV-F427Y-400_Hz-downsampled-rpt_4.atf</t>
  </si>
  <si>
    <t>11819003-guesthost_Phe-70_mV-F427Y-400_Hz-downsampled-rpt_5.atf</t>
  </si>
  <si>
    <t>11819003-guesthost_Phe-70_mV-F427Y-400_Hz-downsampled-rpt_6.atf</t>
  </si>
  <si>
    <t>11819003-guesthost_Phe-70_mV-F427Y-400_Hz-downsampled-rpt_7.atf</t>
  </si>
  <si>
    <t>11819003-guesthost_Phe-70_mV-F427Y-400_Hz-downsampled-rpt_8.atf</t>
  </si>
  <si>
    <t>11819003-guesthost_Phe-70_mV-F427Y-400_Hz-downsampled-rpt_9.atf</t>
  </si>
  <si>
    <t>11823000-guesthost_Phe-70_mV-F427Y-400_Hz-downsampled.atf</t>
  </si>
  <si>
    <t>11823001-guesthost_Phe-70_mV-F427Y-400_Hz-downsampled-rpt_1.atf</t>
  </si>
  <si>
    <t>11823001-guesthost_Phe-70_mV-F427Y-400_Hz-downsampled-rpt_2.atf</t>
  </si>
  <si>
    <t>11823001-guesthost_Phe-70_mV-F427Y-400_Hz-downsampled-rpt_3.atf</t>
  </si>
  <si>
    <t>11823002-guesthost_Phe-70_mV-F427Y-400_Hz-downsampled-rpt_1.atf</t>
  </si>
  <si>
    <t>11823002-guesthost_Phe-70_mV-F427Y-400_Hz-downsampled-rpt_2.atf</t>
  </si>
  <si>
    <t>downsampled 11819003-guesthost_Phe-70_mV-F427Y-500_Hz-rpt_1.atf</t>
  </si>
  <si>
    <t>downsampled 11819003-guesthost_Phe-70_mV-F427Y-500_Hz-rpt_2.atf</t>
  </si>
  <si>
    <t>downsampled 11819003-guesthost_Phe-70_mV-F427Y-500_Hz-rpt_3.atf</t>
  </si>
  <si>
    <t>downsampled 11819003-guesthost_Phe-70_mV-F427Y-500_Hz-rpt_4.atf</t>
  </si>
  <si>
    <t>downsampled 11819003-guesthost_Phe-70_mV-F427Y-500_Hz-rpt_5.atf</t>
  </si>
  <si>
    <t>downsampled 11819003-guesthost_Phe-70_mV-F427Y-500_Hz-rpt_6.atf</t>
  </si>
  <si>
    <t>downsampled 11819003-guesthost_Phe-70_mV-F427Y-500_Hz-rpt_7.atf</t>
  </si>
  <si>
    <t>downsampled 11819003-guesthost_Phe-70_mV-F427Y-500_Hz-rpt_8.atf</t>
  </si>
  <si>
    <t>downsampled 11819003-guesthost_Phe-70_mV-F427Y-500_Hz-rpt_9.atf</t>
  </si>
  <si>
    <t>downsampled 11823000-guesthost_Phe-70_mV-F427Y-500_Hz.atf</t>
  </si>
  <si>
    <t>downsampled 11823001-guesthost_Phe-70_mV-F427Y-500_Hz-rpt_1.atf</t>
  </si>
  <si>
    <t>downsampled 11823001-guesthost_Phe-70_mV-F427Y-500_Hz-rpt_2.atf</t>
  </si>
  <si>
    <t>downsampled 11823001-guesthost_Phe-70_mV-F427Y-500_Hz-rpt_3.atf</t>
  </si>
  <si>
    <t>downsampled 11823002-guesthost_Phe-70_mV-F427Y-500_Hz-rpt_1.atf</t>
  </si>
  <si>
    <t>downsampled 11823002-guesthost_Phe-70_mV-F427Y-500_Hz-rpt_2.atf</t>
  </si>
  <si>
    <t>11823003-guesthost_Leu-70_mV-F427Y-400_Hz-downsampled.atf</t>
  </si>
  <si>
    <t>11823004-guesthost_Leu-70_mV-F427Y-400_Hz-downsampled-rpt_1.atf</t>
  </si>
  <si>
    <t>11823004-guesthost_Leu-70_mV-F427Y-400_Hz-downsampled-rpt_2.atf</t>
  </si>
  <si>
    <t>11823005-guesthost_Leu-70_mV-F427Y-400_Hz-downsampled.atf</t>
  </si>
  <si>
    <t>11823006-guesthost_Leu-70_mV-F427Y-400_Hz-downsampled-rpt_1.atf</t>
  </si>
  <si>
    <t>11823006-guesthost_Leu-70_mV-F427Y-400_Hz-downsampled-rpt_2.atf</t>
  </si>
  <si>
    <t>11823006-guesthost_Leu-70_mV-F427Y-400_Hz-downsampled-rpt_3.atf</t>
  </si>
  <si>
    <t>11823006-guesthost_Leu-70_mV-F427Y-400_Hz-downsampled-rpt_4.atf</t>
  </si>
  <si>
    <t>11823006-guesthost_Leu-70_mV-F427Y-400_Hz-downsampled-rpt_5.atf</t>
  </si>
  <si>
    <t>downsampled 11823003-guesthost_Leu-70_mV-F427Y-500_Hz.atf</t>
  </si>
  <si>
    <t>downsampled 11823004-guesthost_Leu-70_mV-F427Y-500_Hz-rpt_1.atf</t>
  </si>
  <si>
    <t>downsampled 11823004-guesthost_Leu-70_mV-F427Y-500_Hz-rpt_2.atf</t>
  </si>
  <si>
    <t>downsampled 11823005-guesthost_Leu-70_mV-F427Y-500_Hz.atf</t>
  </si>
  <si>
    <t>downsampled 11823006-guesthost_Leu-70_mV-F427Y-500_Hz-rpt_1.atf</t>
  </si>
  <si>
    <t>downsampled 11823006-guesthost_Leu-70_mV-F427Y-500_Hz-rpt_2.atf</t>
  </si>
  <si>
    <t>downsampled 11823006-guesthost_Leu-70_mV-F427Y-500_Hz-rpt_3.atf</t>
  </si>
  <si>
    <t>downsampled 11823006-guesthost_Leu-70_mV-F427Y-500_Hz-rpt_4.atf</t>
  </si>
  <si>
    <t>downsampled 11823006-guesthost_Leu-70_mV-F427Y-500_Hz-rpt_5.atf</t>
  </si>
  <si>
    <t>11826000-guesthost_Ala-70_mV-F427Y-400_Hz-downsampled.atf</t>
  </si>
  <si>
    <t>11826001-guesthost_Ala-70_mV-F427Y-400_Hz-downsampled-rpt_1.atf</t>
  </si>
  <si>
    <t>11826001-guesthost_Ala-70_mV-F427Y-400_Hz-downsampled-rpt_2.atf</t>
  </si>
  <si>
    <t>11826001-guesthost_Ala-70_mV-F427Y-400_Hz-downsampled-rpt_3.atf</t>
  </si>
  <si>
    <t>11826001-guesthost_Ala-70_mV-F427Y-400_Hz-downsampled-rpt_4.atf</t>
  </si>
  <si>
    <t>11826001-guesthost_Ala-70_mV-F427Y-400_Hz-downsampled-rpt_5.atf</t>
  </si>
  <si>
    <t>11826001-guesthost_Ala-70_mV-F427Y-400_Hz-downsampled-rpt_6.atf</t>
  </si>
  <si>
    <t>11826001-guesthost_Ala-70_mV-F427Y-400_Hz-downsampled-rpt_7.atf</t>
  </si>
  <si>
    <t>11826002-guesthost_Ala-70_mV-F427Y-400_Hz-downsampled-rpt_1.atf</t>
  </si>
  <si>
    <t>11826002-guesthost_Ala-70_mV-F427Y-400_Hz-downsampled-rpt_2.atf</t>
  </si>
  <si>
    <t>11826002-guesthost_Ala-70_mV-F427Y-400_Hz-downsampled-rpt_3.atf</t>
  </si>
  <si>
    <t>11826002-guesthost_Ala-70_mV-F427Y-400_Hz-downsampled-rpt_4.atf</t>
  </si>
  <si>
    <t>11826002-guesthost_Ala-70_mV-F427Y-400_Hz-downsampled-rpt_5.atf</t>
  </si>
  <si>
    <t>11826002-guesthost_Ala-70_mV-F427Y-400_Hz-downsampled-rpt_6.atf</t>
  </si>
  <si>
    <t>downsampled 11826000-guesthost_Ala-70_mV-F427Y-600_Hz.atf</t>
  </si>
  <si>
    <t>downsampled 11826001-guesthost_Ala-70_mV-F427Y-600_Hz-rpt_1.atf</t>
  </si>
  <si>
    <t>downsampled 11826001-guesthost_Ala-70_mV-F427Y-600_Hz-rpt_2.atf</t>
  </si>
  <si>
    <t>downsampled 11826001-guesthost_Ala-70_mV-F427Y-600_Hz-rpt_3.atf</t>
  </si>
  <si>
    <t>downsampled 11826001-guesthost_Ala-70_mV-F427Y-600_Hz-rpt_4.atf</t>
  </si>
  <si>
    <t>downsampled 11826001-guesthost_Ala-70_mV-F427Y-600_Hz-rpt_5.atf</t>
  </si>
  <si>
    <t>downsampled 11826001-guesthost_Ala-70_mV-F427Y-600_Hz-rpt_6.atf</t>
  </si>
  <si>
    <t>downsampled 11826001-guesthost_Ala-70_mV-F427Y-600_Hz-rpt_7.atf</t>
  </si>
  <si>
    <t>downsampled 11826002-guesthost_Ala-70_mV-F427Y-600_Hz-rpt_1.atf</t>
  </si>
  <si>
    <t>downsampled 11826002-guesthost_Ala-70_mV-F427Y-600_Hz-rpt_2.atf</t>
  </si>
  <si>
    <t>downsampled 11826002-guesthost_Ala-70_mV-F427Y-600_Hz-rpt_3.atf</t>
  </si>
  <si>
    <t>downsampled 11826002-guesthost_Ala-70_mV-F427Y-600_Hz-rpt_4.atf</t>
  </si>
  <si>
    <t>downsampled 11826002-guesthost_Ala-70_mV-F427Y-600_Hz-rpt_5.atf</t>
  </si>
  <si>
    <t>downsampled 11826002-guesthost_Ala-70_mV-F427Y-600_Hz-rpt_6.atf</t>
  </si>
  <si>
    <t>11d05001-guesthost_Tyr-70_mV-F427Y-600_Hz-rpt_1.csv</t>
  </si>
  <si>
    <t>11d05001-guesthost_Tyr-70_mV-F427Y-600_Hz-rpt_2.csv</t>
  </si>
  <si>
    <t>11d06001-guesthost_Tyr-70_mV-F427Y-600_Hz-rpt_1.csv</t>
  </si>
  <si>
    <t>11d06001-guesthost_Tyr-70_mV-F427Y-600_Hz-rpt_2.csv</t>
  </si>
  <si>
    <t>11d06001-guesthost_Tyr-70_mV-F427Y-600_Hz-rpt_3.csv</t>
  </si>
  <si>
    <t>11d06003-guesthost_Tyr-70_mV-F427Y-600_Hz.csv</t>
  </si>
  <si>
    <t>11824000-guesthost_Tyr-70_mV-F427Y-600_Hz-rpt_1.csv</t>
  </si>
  <si>
    <t>11824000-guesthost_Tyr-70_mV-F427Y-600_Hz-rpt_2.csv</t>
  </si>
  <si>
    <t>11824001-guesthost_Tyr-70_mV-F427Y-600_Hz.csv</t>
  </si>
  <si>
    <t>11824002-guesthost_Tyr-70_mV-F427Y-600_Hz.csv</t>
  </si>
  <si>
    <t>11d05001-guesthost_Tyr-70_mV-F427Y-400_Hz-downsampled-rpt_1.csv</t>
  </si>
  <si>
    <t>11d05001-guesthost_Tyr-70_mV-F427Y-400_Hz-downsampled-rpt_2.csv</t>
  </si>
  <si>
    <t>11d06001-guesthost_Tyr-70_mV-F427Y-400_Hz-downsampled-rpt_1.csv</t>
  </si>
  <si>
    <t>11d06001-guesthost_Tyr-70_mV-F427Y-400_Hz-downsampled-rpt_2.csv</t>
  </si>
  <si>
    <t>11d06001-guesthost_Tyr-70_mV-F427Y-400_Hz-downsampled-rpt_3.csv</t>
  </si>
  <si>
    <t>11d06003-guesthost_Tyr-70_mV-F427Y-400_Hz-downsampled.csv</t>
  </si>
  <si>
    <t>11824000-guesthost_Tyr-70_mV-F427Y-400_Hz-downsampled-rpt_1.csv</t>
  </si>
  <si>
    <t>11824000-guesthost_Tyr-70_mV-F427Y-400_Hz-downsampled-rpt_2.csv</t>
  </si>
  <si>
    <t>11824001-guesthost_Tyr-70_mV-F427Y-400_Hz-downsampled.csv</t>
  </si>
  <si>
    <t>11824002-guesthost_Tyr-70_mV-F427Y-400_Hz-downsampled.csv</t>
  </si>
  <si>
    <t>11819000-guesthost_TrpDL-70_mV-F427Y-500_Hz.csv</t>
  </si>
  <si>
    <t>11819001-guesthost_TrpDL-70_mV-F427Y-500_Hz-rpt_1.csv</t>
  </si>
  <si>
    <t>11819001-guesthost_TrpDL-70_mV-F427Y-500_Hz-rpt_2.csv</t>
  </si>
  <si>
    <t>11819002-guesthost_TrpDL-70_mV-F427Y-500_Hz.csv</t>
  </si>
  <si>
    <t>11819000-guesthost_TrpDL-70_mV-F427Y-400_Hz-downsampled.csv</t>
  </si>
  <si>
    <t>11819001-guesthost_TrpDL-70_mV-F427Y-400_Hz-downsampled-rpt_1.csv</t>
  </si>
  <si>
    <t>11819001-guesthost_TrpDL-70_mV-F427Y-400_Hz-downsampled-rpt_2.csv</t>
  </si>
  <si>
    <t>11819002-guesthost_TrpDL-70_mV-F427Y-400_Hz-downsampled.csv</t>
  </si>
  <si>
    <t>F427Y</t>
  </si>
  <si>
    <t>Trp</t>
  </si>
  <si>
    <t>11817000-guesthost_Trp-70_mV-F427Y-500_Hz-rpt_1.csv</t>
  </si>
  <si>
    <t>11817000-guesthost_Trp-70_mV-F427Y-500_Hz-rpt_2.csv</t>
  </si>
  <si>
    <t>11817002-guesthost_Trp-70_mV-F427Y-500_Hz.csv</t>
  </si>
  <si>
    <t>11817000-guesthost_Trp-70_mV-F427Y-400_Hz-downsampled-rpt_1.csv</t>
  </si>
  <si>
    <t>11817000-guesthost_Trp-70_mV-F427Y-400_Hz-downsampled-rpt_2.csv</t>
  </si>
  <si>
    <t>11817002-guesthost_Trp-70_mV-F427Y-400_Hz-downsampled.csv</t>
  </si>
  <si>
    <t>Thr</t>
  </si>
  <si>
    <t>11824003-guesthost_Thr-70_mV-F427Y-600_Hz-rpt-1.csv</t>
  </si>
  <si>
    <t>11824003-guesthost_Thr-70_mV-F427Y-600_Hz-rpt-2.csv</t>
  </si>
  <si>
    <t>11824003-guesthost_Thr-70_mV-F427Y-600_Hz-rpt-3.csv</t>
  </si>
  <si>
    <t>11824004-guesthost_Thr-70_mV-F427Y-600_Hz.csv</t>
  </si>
  <si>
    <t>11824005-guesthost_Thr-70_mV-F427Y-600_Hz.csv</t>
  </si>
  <si>
    <t>11824003-guesthost_Thr-70_mV-F427Y-400_Hz-downsampled-rpt-1.csv</t>
  </si>
  <si>
    <t>11824003-guesthost_Thr-70_mV-F427Y-400_Hz-downsampled-rpt-2.csv</t>
  </si>
  <si>
    <t>11824003-guesthost_Thr-70_mV-F427Y-400_Hz-downsampled-rpt-3.csv</t>
  </si>
  <si>
    <t>11824004-guesthost_Thr-70_mV-F427Y-400_Hz-downsampled.csv</t>
  </si>
  <si>
    <t>11824005-guesthost_Thr-70_mV-F427Y-400_Hz-downsampled.csv</t>
  </si>
  <si>
    <t>Phe</t>
  </si>
  <si>
    <t>11819003-guesthost_Phe-70_mV-F427Y-500_Hz-rpt_1.csv</t>
  </si>
  <si>
    <t>11819003-guesthost_Phe-70_mV-F427Y-500_Hz-rpt_2.csv</t>
  </si>
  <si>
    <t>11819003-guesthost_Phe-70_mV-F427Y-500_Hz-rpt_3.csv</t>
  </si>
  <si>
    <t>11819003-guesthost_Phe-70_mV-F427Y-500_Hz-rpt_4.csv</t>
  </si>
  <si>
    <t>11819003-guesthost_Phe-70_mV-F427Y-500_Hz-rpt_5.csv</t>
  </si>
  <si>
    <t>11819003-guesthost_Phe-70_mV-F427Y-500_Hz-rpt_6.csv</t>
  </si>
  <si>
    <t>11819003-guesthost_Phe-70_mV-F427Y-500_Hz-rpt_7.csv</t>
  </si>
  <si>
    <t>11819003-guesthost_Phe-70_mV-F427Y-500_Hz-rpt_8.csv</t>
  </si>
  <si>
    <t>11819003-guesthost_Phe-70_mV-F427Y-500_Hz-rpt_9.csv</t>
  </si>
  <si>
    <t>11823000-guesthost_Phe-70_mV-F427Y-500_Hz.csv</t>
  </si>
  <si>
    <t>11823001-guesthost_Phe-70_mV-F427Y-500_Hz-rpt_1.csv</t>
  </si>
  <si>
    <t>11823001-guesthost_Phe-70_mV-F427Y-500_Hz-rpt_2.csv</t>
  </si>
  <si>
    <t>11823001-guesthost_Phe-70_mV-F427Y-500_Hz-rpt_3.csv</t>
  </si>
  <si>
    <t>11823002-guesthost_Phe-70_mV-F427Y-500_Hz-rpt_1.csv</t>
  </si>
  <si>
    <t>11823002-guesthost_Phe-70_mV-F427Y-500_Hz-rpt_2.csv</t>
  </si>
  <si>
    <t>11819003-guesthost_Phe-70_mV-F427Y-400_Hz-downsampled-rpt_1.csv</t>
  </si>
  <si>
    <t>11819003-guesthost_Phe-70_mV-F427Y-400_Hz-downsampled-rpt_2.csv</t>
  </si>
  <si>
    <t>11819003-guesthost_Phe-70_mV-F427Y-400_Hz-downsampled-rpt_3.csv</t>
  </si>
  <si>
    <t>11819003-guesthost_Phe-70_mV-F427Y-400_Hz-downsampled-rpt_4.csv</t>
  </si>
  <si>
    <t>11819003-guesthost_Phe-70_mV-F427Y-400_Hz-downsampled-rpt_5.csv</t>
  </si>
  <si>
    <t>11819003-guesthost_Phe-70_mV-F427Y-400_Hz-downsampled-rpt_6.csv</t>
  </si>
  <si>
    <t>11819003-guesthost_Phe-70_mV-F427Y-400_Hz-downsampled-rpt_7.csv</t>
  </si>
  <si>
    <t>11819003-guesthost_Phe-70_mV-F427Y-400_Hz-downsampled-rpt_8.csv</t>
  </si>
  <si>
    <t>11819003-guesthost_Phe-70_mV-F427Y-400_Hz-downsampled-rpt_9.csv</t>
  </si>
  <si>
    <t>11823000-guesthost_Phe-70_mV-F427Y-400_Hz-downsampled.csv</t>
  </si>
  <si>
    <t>11823001-guesthost_Phe-70_mV-F427Y-400_Hz-downsampled-rpt_1.csv</t>
  </si>
  <si>
    <t>11823001-guesthost_Phe-70_mV-F427Y-400_Hz-downsampled-rpt_2.csv</t>
  </si>
  <si>
    <t>11823001-guesthost_Phe-70_mV-F427Y-400_Hz-downsampled-rpt_3.csv</t>
  </si>
  <si>
    <t>11823002-guesthost_Phe-70_mV-F427Y-400_Hz-downsampled-rpt_1.csv</t>
  </si>
  <si>
    <t>11823002-guesthost_Phe-70_mV-F427Y-400_Hz-downsampled-rpt_2.csv</t>
  </si>
  <si>
    <t>Leu</t>
  </si>
  <si>
    <t>11823003-guesthost_Leu-70_mV-F427Y-500_Hz.csv</t>
  </si>
  <si>
    <t>11823004-guesthost_Leu-70_mV-F427Y-500_Hz-rpt_1.csv</t>
  </si>
  <si>
    <t>11823004-guesthost_Leu-70_mV-F427Y-500_Hz-rpt_2.csv</t>
  </si>
  <si>
    <t>11823005-guesthost_Leu-70_mV-F427Y-500_Hz.csv</t>
  </si>
  <si>
    <t>11823006-guesthost_Leu-70_mV-F427Y-500_Hz-rpt_1.csv</t>
  </si>
  <si>
    <t>11823006-guesthost_Leu-70_mV-F427Y-500_Hz-rpt_2.csv</t>
  </si>
  <si>
    <t>11823006-guesthost_Leu-70_mV-F427Y-500_Hz-rpt_3.csv</t>
  </si>
  <si>
    <t>11823006-guesthost_Leu-70_mV-F427Y-500_Hz-rpt_4.csv</t>
  </si>
  <si>
    <t>11823006-guesthost_Leu-70_mV-F427Y-500_Hz-rpt_5.csv</t>
  </si>
  <si>
    <t>11823003-guesthost_Leu-70_mV-F427Y-400_Hz-downsampled.csv</t>
  </si>
  <si>
    <t>11823004-guesthost_Leu-70_mV-F427Y-400_Hz-downsampled-rpt_1.csv</t>
  </si>
  <si>
    <t>11823004-guesthost_Leu-70_mV-F427Y-400_Hz-downsampled-rpt_2.csv</t>
  </si>
  <si>
    <t>11823005-guesthost_Leu-70_mV-F427Y-400_Hz-downsampled.csv</t>
  </si>
  <si>
    <t>11823006-guesthost_Leu-70_mV-F427Y-400_Hz-downsampled-rpt_1.csv</t>
  </si>
  <si>
    <t>11823006-guesthost_Leu-70_mV-F427Y-400_Hz-downsampled-rpt_2.csv</t>
  </si>
  <si>
    <t>11823006-guesthost_Leu-70_mV-F427Y-400_Hz-downsampled-rpt_3.csv</t>
  </si>
  <si>
    <t>11823006-guesthost_Leu-70_mV-F427Y-400_Hz-downsampled-rpt_4.csv</t>
  </si>
  <si>
    <t>11823006-guesthost_Leu-70_mV-F427Y-400_Hz-downsampled-rpt_5.csv</t>
  </si>
  <si>
    <t>Ala</t>
  </si>
  <si>
    <t>11826000-guesthost_Ala-70_mV-F427Y-600_Hz.csv</t>
  </si>
  <si>
    <t>11826001-guesthost_Ala-70_mV-F427Y-600_Hz-rpt_1.csv</t>
  </si>
  <si>
    <t>11826001-guesthost_Ala-70_mV-F427Y-600_Hz-rpt_2.csv</t>
  </si>
  <si>
    <t>11826001-guesthost_Ala-70_mV-F427Y-600_Hz-rpt_3.csv</t>
  </si>
  <si>
    <t>11826001-guesthost_Ala-70_mV-F427Y-600_Hz-rpt_4.csv</t>
  </si>
  <si>
    <t>11826001-guesthost_Ala-70_mV-F427Y-600_Hz-rpt_5.csv</t>
  </si>
  <si>
    <t>11826001-guesthost_Ala-70_mV-F427Y-600_Hz-rpt_6.csv</t>
  </si>
  <si>
    <t>11826001-guesthost_Ala-70_mV-F427Y-600_Hz-rpt_7.csv</t>
  </si>
  <si>
    <t>11826002-guesthost_Ala-70_mV-F427Y-600_Hz-rpt_1.csv</t>
  </si>
  <si>
    <t>11826002-guesthost_Ala-70_mV-F427Y-600_Hz-rpt_2.csv</t>
  </si>
  <si>
    <t>11826002-guesthost_Ala-70_mV-F427Y-600_Hz-rpt_3.csv</t>
  </si>
  <si>
    <t>11826002-guesthost_Ala-70_mV-F427Y-600_Hz-rpt_4.csv</t>
  </si>
  <si>
    <t>11826002-guesthost_Ala-70_mV-F427Y-600_Hz-rpt_5.csv</t>
  </si>
  <si>
    <t>11826002-guesthost_Ala-70_mV-F427Y-600_Hz-rpt_6.csv</t>
  </si>
  <si>
    <t>11826000-guesthost_Ala-70_mV-F427Y-400_Hz-downsampled.csv</t>
  </si>
  <si>
    <t>11826001-guesthost_Ala-70_mV-F427Y-400_Hz-downsampled-rpt_1.csv</t>
  </si>
  <si>
    <t>11826001-guesthost_Ala-70_mV-F427Y-400_Hz-downsampled-rpt_2.csv</t>
  </si>
  <si>
    <t>11826001-guesthost_Ala-70_mV-F427Y-400_Hz-downsampled-rpt_3.csv</t>
  </si>
  <si>
    <t>11826001-guesthost_Ala-70_mV-F427Y-400_Hz-downsampled-rpt_4.csv</t>
  </si>
  <si>
    <t>11826001-guesthost_Ala-70_mV-F427Y-400_Hz-downsampled-rpt_5.csv</t>
  </si>
  <si>
    <t>11826001-guesthost_Ala-70_mV-F427Y-400_Hz-downsampled-rpt_6.csv</t>
  </si>
  <si>
    <t>11826001-guesthost_Ala-70_mV-F427Y-400_Hz-downsampled-rpt_7.csv</t>
  </si>
  <si>
    <t>11826002-guesthost_Ala-70_mV-F427Y-400_Hz-downsampled-rpt_1.csv</t>
  </si>
  <si>
    <t>11826002-guesthost_Ala-70_mV-F427Y-400_Hz-downsampled-rpt_2.csv</t>
  </si>
  <si>
    <t>11826002-guesthost_Ala-70_mV-F427Y-400_Hz-downsampled-rpt_3.csv</t>
  </si>
  <si>
    <t>11826002-guesthost_Ala-70_mV-F427Y-400_Hz-downsampled-rpt_4.csv</t>
  </si>
  <si>
    <t>11826002-guesthost_Ala-70_mV-F427Y-400_Hz-downsampled-rpt_5.csv</t>
  </si>
  <si>
    <t>11826002-guesthost_Ala-70_mV-F427Y-400_Hz-downsampled-rpt_6.csv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</si>
</sst>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0" xfId="0" applyFont="1" applyFill="1"/>
    <xf numFmtId="0" fontId="16" fillId="33" borderId="0" xfId="0" applyFont="1" applyFill="1"/>
    <xf numFmtId="0" fontId="0" fillId="0" borderId="0" xfId="0" quotePrefix="1"/>
    <xf numFmtId="0" fontId="20" fillId="0" borderId="0" xfId="0" applyFont="1"/>
    <xf numFmtId="0" fontId="0" fillId="34" borderId="0" xfId="0" applyFill="1"/>
    <xf numFmtId="0" fontId="2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2983-7886-F046-AB34-426E7E084EE9}">
  <dimension ref="A1:Y121"/>
  <sheetViews>
    <sheetView tabSelected="1" topLeftCell="A90" zoomScale="93" workbookViewId="0">
      <selection activeCell="A102" sqref="A102:XFD102"/>
    </sheetView>
  </sheetViews>
  <sheetFormatPr baseColWidth="10" defaultRowHeight="16" x14ac:dyDescent="0.2"/>
  <cols>
    <col min="1" max="1" width="14.5" bestFit="1" customWidth="1"/>
    <col min="2" max="2" width="61.33203125" bestFit="1" customWidth="1"/>
    <col min="3" max="3" width="8.1640625" bestFit="1" customWidth="1"/>
    <col min="4" max="4" width="10" bestFit="1" customWidth="1"/>
    <col min="5" max="5" width="12.1640625" customWidth="1"/>
    <col min="6" max="6" width="62.33203125" bestFit="1" customWidth="1"/>
    <col min="8" max="8" width="16" bestFit="1" customWidth="1"/>
    <col min="9" max="9" width="14.5" customWidth="1"/>
    <col min="10" max="10" width="7.1640625" bestFit="1" customWidth="1"/>
    <col min="11" max="11" width="6.1640625" bestFit="1" customWidth="1"/>
    <col min="12" max="12" width="12.1640625" bestFit="1" customWidth="1"/>
    <col min="13" max="13" width="12.5" bestFit="1" customWidth="1"/>
    <col min="14" max="14" width="12.5" customWidth="1"/>
    <col min="15" max="15" width="62" bestFit="1" customWidth="1"/>
    <col min="16" max="16" width="7" bestFit="1" customWidth="1"/>
  </cols>
  <sheetData>
    <row r="1" spans="1:25" s="2" customFormat="1" x14ac:dyDescent="0.2">
      <c r="A1" s="2" t="s">
        <v>7</v>
      </c>
      <c r="B1" s="2" t="s">
        <v>26</v>
      </c>
      <c r="C1" s="2" t="s">
        <v>11</v>
      </c>
      <c r="D1" s="2" t="s">
        <v>28</v>
      </c>
      <c r="E1" s="2" t="s">
        <v>29</v>
      </c>
      <c r="F1" s="2" t="s">
        <v>9</v>
      </c>
      <c r="G1" s="2" t="s">
        <v>27</v>
      </c>
      <c r="H1" s="2" t="s">
        <v>16</v>
      </c>
      <c r="I1" s="2" t="s">
        <v>15</v>
      </c>
      <c r="J1" s="2" t="s">
        <v>13</v>
      </c>
      <c r="K1" s="2" t="s">
        <v>24</v>
      </c>
      <c r="L1" s="2" t="s">
        <v>8</v>
      </c>
      <c r="M1" s="2" t="s">
        <v>10</v>
      </c>
      <c r="N1" s="2" t="s">
        <v>30</v>
      </c>
      <c r="O1" s="2" t="s">
        <v>14</v>
      </c>
      <c r="T1" s="1"/>
      <c r="Y1" s="1"/>
    </row>
    <row r="2" spans="1:25" x14ac:dyDescent="0.2">
      <c r="A2" t="s">
        <v>0</v>
      </c>
      <c r="B2" s="4" t="s">
        <v>336</v>
      </c>
      <c r="C2" t="s">
        <v>12</v>
      </c>
      <c r="D2" t="str">
        <f t="shared" ref="D2:D9" si="0">"False"</f>
        <v>False</v>
      </c>
      <c r="E2" t="str">
        <f t="shared" ref="E2:E9" si="1">"True"</f>
        <v>True</v>
      </c>
      <c r="F2" s="3" t="s">
        <v>33</v>
      </c>
      <c r="H2" t="s">
        <v>17</v>
      </c>
      <c r="I2" t="s">
        <v>31</v>
      </c>
      <c r="J2">
        <v>70</v>
      </c>
      <c r="K2" t="s">
        <v>25</v>
      </c>
      <c r="L2">
        <v>20</v>
      </c>
      <c r="M2">
        <v>600</v>
      </c>
      <c r="O2" t="s">
        <v>32</v>
      </c>
    </row>
    <row r="3" spans="1:25" x14ac:dyDescent="0.2">
      <c r="A3" t="s">
        <v>0</v>
      </c>
      <c r="B3" s="4" t="s">
        <v>337</v>
      </c>
      <c r="C3" t="s">
        <v>12</v>
      </c>
      <c r="D3" t="str">
        <f t="shared" si="0"/>
        <v>False</v>
      </c>
      <c r="E3" t="str">
        <f t="shared" si="1"/>
        <v>True</v>
      </c>
      <c r="F3" s="3" t="s">
        <v>34</v>
      </c>
      <c r="H3" t="s">
        <v>17</v>
      </c>
      <c r="I3" t="s">
        <v>31</v>
      </c>
      <c r="J3">
        <v>70</v>
      </c>
      <c r="K3" t="s">
        <v>25</v>
      </c>
      <c r="L3">
        <v>20</v>
      </c>
      <c r="M3">
        <v>600</v>
      </c>
      <c r="O3" t="s">
        <v>35</v>
      </c>
    </row>
    <row r="4" spans="1:25" x14ac:dyDescent="0.2">
      <c r="A4" t="s">
        <v>0</v>
      </c>
      <c r="B4" s="4" t="s">
        <v>338</v>
      </c>
      <c r="C4" t="s">
        <v>12</v>
      </c>
      <c r="D4" t="str">
        <f t="shared" si="0"/>
        <v>False</v>
      </c>
      <c r="E4" t="str">
        <f t="shared" si="1"/>
        <v>True</v>
      </c>
      <c r="F4" s="3" t="s">
        <v>36</v>
      </c>
      <c r="H4" t="s">
        <v>17</v>
      </c>
      <c r="I4" t="s">
        <v>31</v>
      </c>
      <c r="J4">
        <v>70</v>
      </c>
      <c r="K4" t="s">
        <v>25</v>
      </c>
      <c r="L4">
        <v>20</v>
      </c>
      <c r="M4">
        <v>600</v>
      </c>
      <c r="O4" t="s">
        <v>35</v>
      </c>
    </row>
    <row r="5" spans="1:25" x14ac:dyDescent="0.2">
      <c r="A5" t="s">
        <v>0</v>
      </c>
      <c r="B5" s="4" t="s">
        <v>339</v>
      </c>
      <c r="C5" t="s">
        <v>12</v>
      </c>
      <c r="D5" t="str">
        <f t="shared" si="0"/>
        <v>False</v>
      </c>
      <c r="E5" t="str">
        <f t="shared" si="1"/>
        <v>True</v>
      </c>
      <c r="F5" s="3" t="s">
        <v>37</v>
      </c>
      <c r="H5" t="s">
        <v>17</v>
      </c>
      <c r="I5" t="s">
        <v>31</v>
      </c>
      <c r="J5">
        <v>70</v>
      </c>
      <c r="K5" t="s">
        <v>25</v>
      </c>
      <c r="L5">
        <v>20</v>
      </c>
      <c r="M5">
        <v>600</v>
      </c>
      <c r="O5" t="s">
        <v>35</v>
      </c>
    </row>
    <row r="6" spans="1:25" x14ac:dyDescent="0.2">
      <c r="A6" t="s">
        <v>0</v>
      </c>
      <c r="B6" s="4" t="s">
        <v>340</v>
      </c>
      <c r="C6" t="s">
        <v>12</v>
      </c>
      <c r="D6" t="str">
        <f t="shared" si="0"/>
        <v>False</v>
      </c>
      <c r="E6" t="str">
        <f t="shared" si="1"/>
        <v>True</v>
      </c>
      <c r="F6" s="3" t="s">
        <v>38</v>
      </c>
      <c r="H6" t="s">
        <v>17</v>
      </c>
      <c r="I6" t="s">
        <v>31</v>
      </c>
      <c r="J6">
        <v>70</v>
      </c>
      <c r="K6" t="s">
        <v>25</v>
      </c>
      <c r="L6">
        <v>20</v>
      </c>
      <c r="M6">
        <v>600</v>
      </c>
      <c r="O6" t="s">
        <v>35</v>
      </c>
    </row>
    <row r="7" spans="1:25" x14ac:dyDescent="0.2">
      <c r="A7" t="s">
        <v>0</v>
      </c>
      <c r="B7" s="4" t="s">
        <v>341</v>
      </c>
      <c r="C7" t="s">
        <v>12</v>
      </c>
      <c r="D7" t="str">
        <f t="shared" si="0"/>
        <v>False</v>
      </c>
      <c r="E7" t="str">
        <f t="shared" si="1"/>
        <v>True</v>
      </c>
      <c r="F7" s="3" t="s">
        <v>39</v>
      </c>
      <c r="H7" t="s">
        <v>17</v>
      </c>
      <c r="I7" t="s">
        <v>31</v>
      </c>
      <c r="J7">
        <v>70</v>
      </c>
      <c r="K7" t="s">
        <v>25</v>
      </c>
      <c r="L7">
        <v>20</v>
      </c>
      <c r="M7">
        <v>600</v>
      </c>
      <c r="O7" t="s">
        <v>35</v>
      </c>
    </row>
    <row r="8" spans="1:25" x14ac:dyDescent="0.2">
      <c r="A8" t="s">
        <v>0</v>
      </c>
      <c r="B8" s="4" t="s">
        <v>342</v>
      </c>
      <c r="C8" t="s">
        <v>12</v>
      </c>
      <c r="D8" t="str">
        <f t="shared" si="0"/>
        <v>False</v>
      </c>
      <c r="E8" t="str">
        <f t="shared" si="1"/>
        <v>True</v>
      </c>
      <c r="F8" s="3" t="s">
        <v>40</v>
      </c>
      <c r="H8" t="s">
        <v>17</v>
      </c>
      <c r="I8" t="s">
        <v>31</v>
      </c>
      <c r="J8">
        <v>70</v>
      </c>
      <c r="K8" t="s">
        <v>25</v>
      </c>
      <c r="L8">
        <v>20</v>
      </c>
      <c r="M8">
        <v>600</v>
      </c>
      <c r="O8" t="s">
        <v>35</v>
      </c>
    </row>
    <row r="9" spans="1:25" x14ac:dyDescent="0.2">
      <c r="A9" t="s">
        <v>0</v>
      </c>
      <c r="B9" s="4" t="s">
        <v>343</v>
      </c>
      <c r="C9" t="s">
        <v>12</v>
      </c>
      <c r="D9" t="str">
        <f t="shared" si="0"/>
        <v>False</v>
      </c>
      <c r="E9" t="str">
        <f t="shared" si="1"/>
        <v>True</v>
      </c>
      <c r="F9" s="3" t="s">
        <v>43</v>
      </c>
      <c r="H9" t="s">
        <v>17</v>
      </c>
      <c r="I9" t="s">
        <v>31</v>
      </c>
      <c r="J9">
        <v>70</v>
      </c>
      <c r="K9" t="s">
        <v>25</v>
      </c>
      <c r="L9">
        <v>20</v>
      </c>
      <c r="M9">
        <v>600</v>
      </c>
      <c r="O9" t="s">
        <v>35</v>
      </c>
    </row>
    <row r="10" spans="1:25" x14ac:dyDescent="0.2">
      <c r="A10" t="s">
        <v>0</v>
      </c>
      <c r="B10" s="4" t="s">
        <v>344</v>
      </c>
      <c r="C10" t="s">
        <v>12</v>
      </c>
      <c r="D10" t="str">
        <f t="shared" ref="D10:D29" si="2">"False"</f>
        <v>False</v>
      </c>
      <c r="E10" t="str">
        <f t="shared" ref="E10:E29" si="3">"True"</f>
        <v>True</v>
      </c>
      <c r="F10" s="3" t="s">
        <v>42</v>
      </c>
      <c r="H10" t="s">
        <v>17</v>
      </c>
      <c r="I10" t="s">
        <v>31</v>
      </c>
      <c r="J10">
        <v>70</v>
      </c>
      <c r="K10" t="s">
        <v>25</v>
      </c>
      <c r="L10">
        <v>20</v>
      </c>
      <c r="M10">
        <v>600</v>
      </c>
      <c r="O10" t="s">
        <v>41</v>
      </c>
    </row>
    <row r="11" spans="1:25" x14ac:dyDescent="0.2">
      <c r="A11" t="s">
        <v>0</v>
      </c>
      <c r="B11" s="4" t="s">
        <v>345</v>
      </c>
      <c r="C11" t="s">
        <v>12</v>
      </c>
      <c r="D11" t="str">
        <f t="shared" si="2"/>
        <v>False</v>
      </c>
      <c r="E11" t="str">
        <f t="shared" si="3"/>
        <v>True</v>
      </c>
      <c r="F11" s="3" t="s">
        <v>44</v>
      </c>
      <c r="H11" t="s">
        <v>17</v>
      </c>
      <c r="I11" t="s">
        <v>31</v>
      </c>
      <c r="J11">
        <v>70</v>
      </c>
      <c r="K11" t="s">
        <v>25</v>
      </c>
      <c r="L11">
        <v>20</v>
      </c>
      <c r="M11">
        <v>600</v>
      </c>
      <c r="O11" t="s">
        <v>41</v>
      </c>
    </row>
    <row r="12" spans="1:25" x14ac:dyDescent="0.2">
      <c r="A12" t="s">
        <v>0</v>
      </c>
      <c r="B12" s="4" t="s">
        <v>346</v>
      </c>
      <c r="C12" t="s">
        <v>12</v>
      </c>
      <c r="D12" t="str">
        <f>"False"</f>
        <v>False</v>
      </c>
      <c r="E12" t="str">
        <f>"True"</f>
        <v>True</v>
      </c>
      <c r="F12" s="3" t="s">
        <v>45</v>
      </c>
      <c r="H12" t="s">
        <v>17</v>
      </c>
      <c r="I12" t="s">
        <v>31</v>
      </c>
      <c r="J12">
        <v>70</v>
      </c>
      <c r="K12" t="s">
        <v>25</v>
      </c>
      <c r="L12">
        <v>20</v>
      </c>
      <c r="M12">
        <v>600</v>
      </c>
      <c r="O12" t="s">
        <v>41</v>
      </c>
    </row>
    <row r="13" spans="1:25" x14ac:dyDescent="0.2">
      <c r="A13" t="s">
        <v>0</v>
      </c>
      <c r="B13" s="4" t="s">
        <v>347</v>
      </c>
      <c r="C13" t="s">
        <v>12</v>
      </c>
      <c r="D13" t="str">
        <f t="shared" si="2"/>
        <v>False</v>
      </c>
      <c r="E13" t="str">
        <f t="shared" si="3"/>
        <v>True</v>
      </c>
      <c r="F13" s="3" t="s">
        <v>46</v>
      </c>
      <c r="H13" t="s">
        <v>17</v>
      </c>
      <c r="I13" t="s">
        <v>31</v>
      </c>
      <c r="J13">
        <v>70</v>
      </c>
      <c r="K13" t="s">
        <v>25</v>
      </c>
      <c r="L13">
        <v>20</v>
      </c>
      <c r="M13">
        <v>600</v>
      </c>
      <c r="O13" t="s">
        <v>41</v>
      </c>
    </row>
    <row r="14" spans="1:25" x14ac:dyDescent="0.2">
      <c r="A14" t="s">
        <v>0</v>
      </c>
      <c r="B14" s="4" t="s">
        <v>348</v>
      </c>
      <c r="C14" t="s">
        <v>12</v>
      </c>
      <c r="D14" t="str">
        <f t="shared" si="2"/>
        <v>False</v>
      </c>
      <c r="E14" t="str">
        <f t="shared" si="3"/>
        <v>True</v>
      </c>
      <c r="F14" s="3" t="s">
        <v>47</v>
      </c>
      <c r="H14" t="s">
        <v>17</v>
      </c>
      <c r="I14" t="s">
        <v>31</v>
      </c>
      <c r="J14">
        <v>70</v>
      </c>
      <c r="K14" t="s">
        <v>25</v>
      </c>
      <c r="L14">
        <v>20</v>
      </c>
      <c r="M14">
        <v>600</v>
      </c>
      <c r="O14" t="s">
        <v>41</v>
      </c>
    </row>
    <row r="15" spans="1:25" x14ac:dyDescent="0.2">
      <c r="A15" t="s">
        <v>0</v>
      </c>
      <c r="B15" s="4" t="s">
        <v>349</v>
      </c>
      <c r="C15" t="s">
        <v>12</v>
      </c>
      <c r="D15" t="str">
        <f t="shared" si="2"/>
        <v>False</v>
      </c>
      <c r="E15" t="str">
        <f t="shared" si="3"/>
        <v>True</v>
      </c>
      <c r="F15" s="3" t="s">
        <v>48</v>
      </c>
      <c r="H15" t="s">
        <v>17</v>
      </c>
      <c r="I15" t="s">
        <v>31</v>
      </c>
      <c r="J15">
        <v>70</v>
      </c>
      <c r="K15" t="s">
        <v>25</v>
      </c>
      <c r="L15">
        <v>20</v>
      </c>
      <c r="M15">
        <v>600</v>
      </c>
      <c r="O15" t="s">
        <v>41</v>
      </c>
    </row>
    <row r="16" spans="1:25" x14ac:dyDescent="0.2">
      <c r="A16" t="s">
        <v>0</v>
      </c>
      <c r="B16" s="4" t="s">
        <v>350</v>
      </c>
      <c r="C16" t="s">
        <v>117</v>
      </c>
      <c r="D16" t="str">
        <f t="shared" si="2"/>
        <v>False</v>
      </c>
      <c r="E16" t="str">
        <f t="shared" si="3"/>
        <v>True</v>
      </c>
      <c r="F16" s="3" t="s">
        <v>210</v>
      </c>
      <c r="H16" t="s">
        <v>17</v>
      </c>
      <c r="I16" t="s">
        <v>31</v>
      </c>
      <c r="J16">
        <v>70</v>
      </c>
      <c r="K16" t="s">
        <v>25</v>
      </c>
      <c r="L16">
        <v>20</v>
      </c>
      <c r="M16">
        <v>400</v>
      </c>
      <c r="O16" t="s">
        <v>224</v>
      </c>
    </row>
    <row r="17" spans="1:15" x14ac:dyDescent="0.2">
      <c r="A17" t="s">
        <v>0</v>
      </c>
      <c r="B17" s="4" t="s">
        <v>351</v>
      </c>
      <c r="C17" t="s">
        <v>117</v>
      </c>
      <c r="D17" t="str">
        <f t="shared" si="2"/>
        <v>False</v>
      </c>
      <c r="E17" t="str">
        <f t="shared" si="3"/>
        <v>True</v>
      </c>
      <c r="F17" s="3" t="s">
        <v>211</v>
      </c>
      <c r="H17" t="s">
        <v>17</v>
      </c>
      <c r="I17" t="s">
        <v>31</v>
      </c>
      <c r="J17">
        <v>70</v>
      </c>
      <c r="K17" t="s">
        <v>25</v>
      </c>
      <c r="L17">
        <v>20</v>
      </c>
      <c r="M17">
        <v>400</v>
      </c>
      <c r="O17" t="s">
        <v>225</v>
      </c>
    </row>
    <row r="18" spans="1:15" x14ac:dyDescent="0.2">
      <c r="A18" t="s">
        <v>0</v>
      </c>
      <c r="B18" s="4" t="s">
        <v>352</v>
      </c>
      <c r="C18" t="s">
        <v>117</v>
      </c>
      <c r="D18" t="str">
        <f t="shared" si="2"/>
        <v>False</v>
      </c>
      <c r="E18" t="str">
        <f t="shared" si="3"/>
        <v>True</v>
      </c>
      <c r="F18" s="3" t="s">
        <v>212</v>
      </c>
      <c r="H18" t="s">
        <v>17</v>
      </c>
      <c r="I18" t="s">
        <v>31</v>
      </c>
      <c r="J18">
        <v>70</v>
      </c>
      <c r="K18" t="s">
        <v>25</v>
      </c>
      <c r="L18">
        <v>20</v>
      </c>
      <c r="M18">
        <v>400</v>
      </c>
      <c r="O18" t="s">
        <v>226</v>
      </c>
    </row>
    <row r="19" spans="1:15" x14ac:dyDescent="0.2">
      <c r="A19" t="s">
        <v>0</v>
      </c>
      <c r="B19" s="4" t="s">
        <v>353</v>
      </c>
      <c r="C19" t="s">
        <v>117</v>
      </c>
      <c r="D19" t="str">
        <f t="shared" si="2"/>
        <v>False</v>
      </c>
      <c r="E19" t="str">
        <f t="shared" si="3"/>
        <v>True</v>
      </c>
      <c r="F19" s="3" t="s">
        <v>213</v>
      </c>
      <c r="H19" t="s">
        <v>17</v>
      </c>
      <c r="I19" t="s">
        <v>31</v>
      </c>
      <c r="J19">
        <v>70</v>
      </c>
      <c r="K19" t="s">
        <v>25</v>
      </c>
      <c r="L19">
        <v>20</v>
      </c>
      <c r="M19">
        <v>400</v>
      </c>
      <c r="O19" t="s">
        <v>227</v>
      </c>
    </row>
    <row r="20" spans="1:15" x14ac:dyDescent="0.2">
      <c r="A20" t="s">
        <v>0</v>
      </c>
      <c r="B20" s="4" t="s">
        <v>354</v>
      </c>
      <c r="C20" t="s">
        <v>117</v>
      </c>
      <c r="D20" t="str">
        <f t="shared" si="2"/>
        <v>False</v>
      </c>
      <c r="E20" t="str">
        <f t="shared" si="3"/>
        <v>True</v>
      </c>
      <c r="F20" s="3" t="s">
        <v>214</v>
      </c>
      <c r="H20" t="s">
        <v>17</v>
      </c>
      <c r="I20" t="s">
        <v>31</v>
      </c>
      <c r="J20">
        <v>70</v>
      </c>
      <c r="K20" t="s">
        <v>25</v>
      </c>
      <c r="L20">
        <v>20</v>
      </c>
      <c r="M20">
        <v>400</v>
      </c>
      <c r="O20" t="s">
        <v>228</v>
      </c>
    </row>
    <row r="21" spans="1:15" x14ac:dyDescent="0.2">
      <c r="A21" t="s">
        <v>0</v>
      </c>
      <c r="B21" s="4" t="s">
        <v>355</v>
      </c>
      <c r="C21" t="s">
        <v>117</v>
      </c>
      <c r="D21" t="str">
        <f t="shared" si="2"/>
        <v>False</v>
      </c>
      <c r="E21" t="str">
        <f t="shared" si="3"/>
        <v>True</v>
      </c>
      <c r="F21" s="3" t="s">
        <v>215</v>
      </c>
      <c r="H21" t="s">
        <v>17</v>
      </c>
      <c r="I21" t="s">
        <v>31</v>
      </c>
      <c r="J21">
        <v>70</v>
      </c>
      <c r="K21" t="s">
        <v>25</v>
      </c>
      <c r="L21">
        <v>20</v>
      </c>
      <c r="M21">
        <v>400</v>
      </c>
      <c r="O21" t="s">
        <v>229</v>
      </c>
    </row>
    <row r="22" spans="1:15" x14ac:dyDescent="0.2">
      <c r="A22" t="s">
        <v>0</v>
      </c>
      <c r="B22" s="4" t="s">
        <v>356</v>
      </c>
      <c r="C22" t="s">
        <v>117</v>
      </c>
      <c r="D22" t="str">
        <f t="shared" si="2"/>
        <v>False</v>
      </c>
      <c r="E22" t="str">
        <f t="shared" si="3"/>
        <v>True</v>
      </c>
      <c r="F22" s="3" t="s">
        <v>216</v>
      </c>
      <c r="H22" t="s">
        <v>17</v>
      </c>
      <c r="I22" t="s">
        <v>31</v>
      </c>
      <c r="J22">
        <v>70</v>
      </c>
      <c r="K22" t="s">
        <v>25</v>
      </c>
      <c r="L22">
        <v>20</v>
      </c>
      <c r="M22">
        <v>400</v>
      </c>
      <c r="O22" t="s">
        <v>230</v>
      </c>
    </row>
    <row r="23" spans="1:15" x14ac:dyDescent="0.2">
      <c r="A23" t="s">
        <v>0</v>
      </c>
      <c r="B23" s="4" t="s">
        <v>357</v>
      </c>
      <c r="C23" t="s">
        <v>117</v>
      </c>
      <c r="D23" t="str">
        <f t="shared" si="2"/>
        <v>False</v>
      </c>
      <c r="E23" t="str">
        <f t="shared" si="3"/>
        <v>True</v>
      </c>
      <c r="F23" s="3" t="s">
        <v>217</v>
      </c>
      <c r="H23" t="s">
        <v>17</v>
      </c>
      <c r="I23" t="s">
        <v>31</v>
      </c>
      <c r="J23">
        <v>70</v>
      </c>
      <c r="K23" t="s">
        <v>25</v>
      </c>
      <c r="L23">
        <v>20</v>
      </c>
      <c r="M23">
        <v>400</v>
      </c>
      <c r="O23" t="s">
        <v>231</v>
      </c>
    </row>
    <row r="24" spans="1:15" x14ac:dyDescent="0.2">
      <c r="A24" t="s">
        <v>0</v>
      </c>
      <c r="B24" s="4" t="s">
        <v>358</v>
      </c>
      <c r="C24" t="s">
        <v>117</v>
      </c>
      <c r="D24" t="str">
        <f t="shared" si="2"/>
        <v>False</v>
      </c>
      <c r="E24" t="str">
        <f t="shared" si="3"/>
        <v>True</v>
      </c>
      <c r="F24" s="3" t="s">
        <v>218</v>
      </c>
      <c r="H24" t="s">
        <v>17</v>
      </c>
      <c r="I24" t="s">
        <v>31</v>
      </c>
      <c r="J24">
        <v>70</v>
      </c>
      <c r="K24" t="s">
        <v>25</v>
      </c>
      <c r="L24">
        <v>20</v>
      </c>
      <c r="M24">
        <v>400</v>
      </c>
      <c r="O24" t="s">
        <v>232</v>
      </c>
    </row>
    <row r="25" spans="1:15" x14ac:dyDescent="0.2">
      <c r="A25" t="s">
        <v>0</v>
      </c>
      <c r="B25" s="4" t="s">
        <v>359</v>
      </c>
      <c r="C25" t="s">
        <v>117</v>
      </c>
      <c r="D25" t="str">
        <f t="shared" si="2"/>
        <v>False</v>
      </c>
      <c r="E25" t="str">
        <f t="shared" si="3"/>
        <v>True</v>
      </c>
      <c r="F25" s="3" t="s">
        <v>219</v>
      </c>
      <c r="H25" t="s">
        <v>17</v>
      </c>
      <c r="I25" t="s">
        <v>31</v>
      </c>
      <c r="J25">
        <v>70</v>
      </c>
      <c r="K25" t="s">
        <v>25</v>
      </c>
      <c r="L25">
        <v>20</v>
      </c>
      <c r="M25">
        <v>400</v>
      </c>
      <c r="O25" t="s">
        <v>233</v>
      </c>
    </row>
    <row r="26" spans="1:15" x14ac:dyDescent="0.2">
      <c r="A26" t="s">
        <v>0</v>
      </c>
      <c r="B26" s="4" t="s">
        <v>360</v>
      </c>
      <c r="C26" t="s">
        <v>117</v>
      </c>
      <c r="D26" t="str">
        <f t="shared" si="2"/>
        <v>False</v>
      </c>
      <c r="E26" t="str">
        <f t="shared" si="3"/>
        <v>True</v>
      </c>
      <c r="F26" s="3" t="s">
        <v>220</v>
      </c>
      <c r="H26" t="s">
        <v>17</v>
      </c>
      <c r="I26" t="s">
        <v>31</v>
      </c>
      <c r="J26">
        <v>70</v>
      </c>
      <c r="K26" t="s">
        <v>25</v>
      </c>
      <c r="L26">
        <v>20</v>
      </c>
      <c r="M26">
        <v>400</v>
      </c>
      <c r="O26" t="s">
        <v>234</v>
      </c>
    </row>
    <row r="27" spans="1:15" x14ac:dyDescent="0.2">
      <c r="A27" t="s">
        <v>0</v>
      </c>
      <c r="B27" s="4" t="s">
        <v>361</v>
      </c>
      <c r="C27" t="s">
        <v>117</v>
      </c>
      <c r="D27" t="str">
        <f t="shared" si="2"/>
        <v>False</v>
      </c>
      <c r="E27" t="str">
        <f t="shared" si="3"/>
        <v>True</v>
      </c>
      <c r="F27" s="3" t="s">
        <v>221</v>
      </c>
      <c r="H27" t="s">
        <v>17</v>
      </c>
      <c r="I27" t="s">
        <v>31</v>
      </c>
      <c r="J27">
        <v>70</v>
      </c>
      <c r="K27" t="s">
        <v>25</v>
      </c>
      <c r="L27">
        <v>20</v>
      </c>
      <c r="M27">
        <v>400</v>
      </c>
      <c r="O27" t="s">
        <v>235</v>
      </c>
    </row>
    <row r="28" spans="1:15" x14ac:dyDescent="0.2">
      <c r="A28" t="s">
        <v>0</v>
      </c>
      <c r="B28" s="4" t="s">
        <v>362</v>
      </c>
      <c r="C28" t="s">
        <v>117</v>
      </c>
      <c r="D28" t="str">
        <f t="shared" si="2"/>
        <v>False</v>
      </c>
      <c r="E28" t="str">
        <f t="shared" si="3"/>
        <v>True</v>
      </c>
      <c r="F28" s="3" t="s">
        <v>222</v>
      </c>
      <c r="H28" t="s">
        <v>17</v>
      </c>
      <c r="I28" t="s">
        <v>31</v>
      </c>
      <c r="J28">
        <v>70</v>
      </c>
      <c r="K28" t="s">
        <v>25</v>
      </c>
      <c r="L28">
        <v>20</v>
      </c>
      <c r="M28">
        <v>400</v>
      </c>
      <c r="O28" t="s">
        <v>236</v>
      </c>
    </row>
    <row r="29" spans="1:15" x14ac:dyDescent="0.2">
      <c r="A29" t="s">
        <v>0</v>
      </c>
      <c r="B29" s="4" t="s">
        <v>363</v>
      </c>
      <c r="C29" t="s">
        <v>117</v>
      </c>
      <c r="D29" t="str">
        <f t="shared" si="2"/>
        <v>False</v>
      </c>
      <c r="E29" t="str">
        <f t="shared" si="3"/>
        <v>True</v>
      </c>
      <c r="F29" s="3" t="s">
        <v>223</v>
      </c>
      <c r="H29" t="s">
        <v>17</v>
      </c>
      <c r="I29" t="s">
        <v>31</v>
      </c>
      <c r="J29">
        <v>70</v>
      </c>
      <c r="K29" t="s">
        <v>25</v>
      </c>
      <c r="L29">
        <v>20</v>
      </c>
      <c r="M29">
        <v>400</v>
      </c>
      <c r="O29" t="s">
        <v>237</v>
      </c>
    </row>
    <row r="30" spans="1:15" s="5" customFormat="1" x14ac:dyDescent="0.2">
      <c r="A30" s="5" t="s">
        <v>1</v>
      </c>
      <c r="B30" s="6" t="s">
        <v>317</v>
      </c>
      <c r="C30" s="5" t="s">
        <v>12</v>
      </c>
      <c r="D30" s="5" t="str">
        <f t="shared" ref="D30:D121" si="4">"False"</f>
        <v>False</v>
      </c>
      <c r="E30" s="5" t="str">
        <f t="shared" ref="E30:E121" si="5">"True"</f>
        <v>True</v>
      </c>
      <c r="F30" s="5" t="s">
        <v>49</v>
      </c>
      <c r="H30" s="5" t="s">
        <v>18</v>
      </c>
      <c r="I30" s="5" t="s">
        <v>31</v>
      </c>
      <c r="J30" s="5">
        <v>70</v>
      </c>
      <c r="K30" s="5" t="s">
        <v>25</v>
      </c>
      <c r="L30" s="5">
        <v>20</v>
      </c>
      <c r="M30" s="5">
        <v>500</v>
      </c>
      <c r="O30" s="5" t="s">
        <v>50</v>
      </c>
    </row>
    <row r="31" spans="1:15" s="5" customFormat="1" x14ac:dyDescent="0.2">
      <c r="A31" s="5" t="s">
        <v>1</v>
      </c>
      <c r="B31" s="6" t="s">
        <v>318</v>
      </c>
      <c r="C31" s="5" t="s">
        <v>12</v>
      </c>
      <c r="D31" s="5" t="str">
        <f t="shared" si="4"/>
        <v>False</v>
      </c>
      <c r="E31" s="5" t="str">
        <f t="shared" si="5"/>
        <v>True</v>
      </c>
      <c r="F31" s="5" t="s">
        <v>51</v>
      </c>
      <c r="H31" s="5" t="s">
        <v>18</v>
      </c>
      <c r="I31" s="5" t="s">
        <v>31</v>
      </c>
      <c r="J31" s="5">
        <v>70</v>
      </c>
      <c r="K31" s="5" t="s">
        <v>25</v>
      </c>
      <c r="L31" s="5">
        <v>20</v>
      </c>
      <c r="M31" s="5">
        <v>500</v>
      </c>
      <c r="O31" s="5" t="s">
        <v>52</v>
      </c>
    </row>
    <row r="32" spans="1:15" s="5" customFormat="1" x14ac:dyDescent="0.2">
      <c r="A32" s="5" t="s">
        <v>1</v>
      </c>
      <c r="B32" s="6" t="s">
        <v>319</v>
      </c>
      <c r="C32" s="5" t="s">
        <v>12</v>
      </c>
      <c r="D32" s="5" t="str">
        <f t="shared" si="4"/>
        <v>False</v>
      </c>
      <c r="E32" s="5" t="str">
        <f t="shared" si="5"/>
        <v>True</v>
      </c>
      <c r="F32" s="5" t="s">
        <v>53</v>
      </c>
      <c r="H32" s="5" t="s">
        <v>18</v>
      </c>
      <c r="I32" s="5" t="s">
        <v>31</v>
      </c>
      <c r="J32" s="5">
        <v>70</v>
      </c>
      <c r="K32" s="5" t="s">
        <v>25</v>
      </c>
      <c r="L32" s="5">
        <v>20</v>
      </c>
      <c r="M32" s="5">
        <v>500</v>
      </c>
      <c r="O32" s="5" t="s">
        <v>52</v>
      </c>
    </row>
    <row r="33" spans="1:15" s="5" customFormat="1" x14ac:dyDescent="0.2">
      <c r="A33" s="5" t="s">
        <v>1</v>
      </c>
      <c r="B33" s="6" t="s">
        <v>320</v>
      </c>
      <c r="C33" s="5" t="s">
        <v>12</v>
      </c>
      <c r="D33" s="5" t="str">
        <f t="shared" si="4"/>
        <v>False</v>
      </c>
      <c r="E33" s="5" t="str">
        <f t="shared" si="5"/>
        <v>True</v>
      </c>
      <c r="F33" s="5" t="s">
        <v>54</v>
      </c>
      <c r="H33" s="5" t="s">
        <v>18</v>
      </c>
      <c r="I33" s="5" t="s">
        <v>31</v>
      </c>
      <c r="J33" s="5">
        <v>70</v>
      </c>
      <c r="K33" s="5" t="s">
        <v>25</v>
      </c>
      <c r="L33" s="5">
        <v>20</v>
      </c>
      <c r="M33" s="5">
        <v>500</v>
      </c>
      <c r="O33" s="5" t="s">
        <v>55</v>
      </c>
    </row>
    <row r="34" spans="1:15" s="5" customFormat="1" x14ac:dyDescent="0.2">
      <c r="A34" s="5" t="s">
        <v>1</v>
      </c>
      <c r="B34" s="6" t="s">
        <v>321</v>
      </c>
      <c r="C34" s="5" t="s">
        <v>12</v>
      </c>
      <c r="D34" s="5" t="str">
        <f t="shared" si="4"/>
        <v>False</v>
      </c>
      <c r="E34" s="5" t="str">
        <f t="shared" si="5"/>
        <v>True</v>
      </c>
      <c r="F34" s="5" t="s">
        <v>56</v>
      </c>
      <c r="H34" s="5" t="s">
        <v>18</v>
      </c>
      <c r="I34" s="5" t="s">
        <v>31</v>
      </c>
      <c r="J34" s="5">
        <v>70</v>
      </c>
      <c r="K34" s="5" t="s">
        <v>25</v>
      </c>
      <c r="L34" s="5">
        <v>20</v>
      </c>
      <c r="M34" s="5">
        <v>500</v>
      </c>
      <c r="O34" s="5" t="s">
        <v>61</v>
      </c>
    </row>
    <row r="35" spans="1:15" s="5" customFormat="1" x14ac:dyDescent="0.2">
      <c r="A35" s="5" t="s">
        <v>1</v>
      </c>
      <c r="B35" s="6" t="s">
        <v>322</v>
      </c>
      <c r="C35" s="5" t="s">
        <v>12</v>
      </c>
      <c r="D35" s="5" t="str">
        <f t="shared" si="4"/>
        <v>False</v>
      </c>
      <c r="E35" s="5" t="str">
        <f t="shared" si="5"/>
        <v>True</v>
      </c>
      <c r="F35" s="5" t="s">
        <v>57</v>
      </c>
      <c r="H35" s="5" t="s">
        <v>18</v>
      </c>
      <c r="I35" s="5" t="s">
        <v>31</v>
      </c>
      <c r="J35" s="5">
        <v>70</v>
      </c>
      <c r="K35" s="5" t="s">
        <v>25</v>
      </c>
      <c r="L35" s="5">
        <v>20</v>
      </c>
      <c r="M35" s="5">
        <v>500</v>
      </c>
      <c r="O35" s="5" t="s">
        <v>61</v>
      </c>
    </row>
    <row r="36" spans="1:15" s="5" customFormat="1" x14ac:dyDescent="0.2">
      <c r="A36" s="5" t="s">
        <v>1</v>
      </c>
      <c r="B36" s="6" t="s">
        <v>323</v>
      </c>
      <c r="C36" s="5" t="s">
        <v>12</v>
      </c>
      <c r="D36" s="5" t="str">
        <f t="shared" si="4"/>
        <v>False</v>
      </c>
      <c r="E36" s="5" t="str">
        <f t="shared" si="5"/>
        <v>True</v>
      </c>
      <c r="F36" s="5" t="s">
        <v>58</v>
      </c>
      <c r="H36" s="5" t="s">
        <v>18</v>
      </c>
      <c r="I36" s="5" t="s">
        <v>31</v>
      </c>
      <c r="J36" s="5">
        <v>70</v>
      </c>
      <c r="K36" s="5" t="s">
        <v>25</v>
      </c>
      <c r="L36" s="5">
        <v>20</v>
      </c>
      <c r="M36" s="5">
        <v>500</v>
      </c>
      <c r="O36" s="5" t="s">
        <v>61</v>
      </c>
    </row>
    <row r="37" spans="1:15" s="5" customFormat="1" x14ac:dyDescent="0.2">
      <c r="A37" s="5" t="s">
        <v>1</v>
      </c>
      <c r="B37" s="6" t="s">
        <v>324</v>
      </c>
      <c r="C37" s="5" t="s">
        <v>12</v>
      </c>
      <c r="D37" s="5" t="str">
        <f t="shared" si="4"/>
        <v>False</v>
      </c>
      <c r="E37" s="5" t="str">
        <f t="shared" si="5"/>
        <v>True</v>
      </c>
      <c r="F37" s="5" t="s">
        <v>59</v>
      </c>
      <c r="H37" s="5" t="s">
        <v>18</v>
      </c>
      <c r="I37" s="5" t="s">
        <v>31</v>
      </c>
      <c r="J37" s="5">
        <v>70</v>
      </c>
      <c r="K37" s="5" t="s">
        <v>25</v>
      </c>
      <c r="L37" s="5">
        <v>20</v>
      </c>
      <c r="M37" s="5">
        <v>500</v>
      </c>
      <c r="O37" s="5" t="s">
        <v>61</v>
      </c>
    </row>
    <row r="38" spans="1:15" s="5" customFormat="1" x14ac:dyDescent="0.2">
      <c r="A38" s="5" t="s">
        <v>1</v>
      </c>
      <c r="B38" s="6" t="s">
        <v>325</v>
      </c>
      <c r="C38" s="5" t="s">
        <v>12</v>
      </c>
      <c r="D38" s="5" t="str">
        <f t="shared" si="4"/>
        <v>False</v>
      </c>
      <c r="E38" s="5" t="str">
        <f t="shared" si="5"/>
        <v>True</v>
      </c>
      <c r="F38" s="5" t="s">
        <v>60</v>
      </c>
      <c r="H38" s="5" t="s">
        <v>18</v>
      </c>
      <c r="I38" s="5" t="s">
        <v>31</v>
      </c>
      <c r="J38" s="5">
        <v>70</v>
      </c>
      <c r="K38" s="5" t="s">
        <v>25</v>
      </c>
      <c r="L38" s="5">
        <v>20</v>
      </c>
      <c r="M38" s="5">
        <v>500</v>
      </c>
      <c r="O38" s="5" t="s">
        <v>61</v>
      </c>
    </row>
    <row r="39" spans="1:15" s="5" customFormat="1" x14ac:dyDescent="0.2">
      <c r="A39" s="5" t="s">
        <v>1</v>
      </c>
      <c r="B39" s="6" t="s">
        <v>326</v>
      </c>
      <c r="C39" s="5" t="s">
        <v>117</v>
      </c>
      <c r="D39" s="5" t="str">
        <f t="shared" si="4"/>
        <v>False</v>
      </c>
      <c r="E39" s="5" t="str">
        <f t="shared" si="5"/>
        <v>True</v>
      </c>
      <c r="F39" s="5" t="s">
        <v>192</v>
      </c>
      <c r="H39" s="5" t="s">
        <v>18</v>
      </c>
      <c r="I39" s="5" t="s">
        <v>31</v>
      </c>
      <c r="J39" s="5">
        <v>70</v>
      </c>
      <c r="K39" s="5" t="s">
        <v>25</v>
      </c>
      <c r="L39" s="5">
        <v>20</v>
      </c>
      <c r="M39" s="5">
        <v>400</v>
      </c>
      <c r="O39" s="5" t="s">
        <v>201</v>
      </c>
    </row>
    <row r="40" spans="1:15" s="5" customFormat="1" x14ac:dyDescent="0.2">
      <c r="A40" s="5" t="s">
        <v>1</v>
      </c>
      <c r="B40" s="6" t="s">
        <v>327</v>
      </c>
      <c r="C40" s="5" t="s">
        <v>117</v>
      </c>
      <c r="D40" s="5" t="str">
        <f t="shared" si="4"/>
        <v>False</v>
      </c>
      <c r="E40" s="5" t="str">
        <f t="shared" si="5"/>
        <v>True</v>
      </c>
      <c r="F40" s="5" t="s">
        <v>193</v>
      </c>
      <c r="H40" s="5" t="s">
        <v>18</v>
      </c>
      <c r="I40" s="5" t="s">
        <v>31</v>
      </c>
      <c r="J40" s="5">
        <v>70</v>
      </c>
      <c r="K40" s="5" t="s">
        <v>25</v>
      </c>
      <c r="L40" s="5">
        <v>20</v>
      </c>
      <c r="M40" s="5">
        <v>400</v>
      </c>
      <c r="O40" s="5" t="s">
        <v>202</v>
      </c>
    </row>
    <row r="41" spans="1:15" s="5" customFormat="1" x14ac:dyDescent="0.2">
      <c r="A41" s="5" t="s">
        <v>1</v>
      </c>
      <c r="B41" s="6" t="s">
        <v>328</v>
      </c>
      <c r="C41" s="5" t="s">
        <v>117</v>
      </c>
      <c r="D41" s="5" t="str">
        <f t="shared" si="4"/>
        <v>False</v>
      </c>
      <c r="E41" s="5" t="str">
        <f t="shared" si="5"/>
        <v>True</v>
      </c>
      <c r="F41" s="5" t="s">
        <v>194</v>
      </c>
      <c r="H41" s="5" t="s">
        <v>18</v>
      </c>
      <c r="I41" s="5" t="s">
        <v>31</v>
      </c>
      <c r="J41" s="5">
        <v>70</v>
      </c>
      <c r="K41" s="5" t="s">
        <v>25</v>
      </c>
      <c r="L41" s="5">
        <v>20</v>
      </c>
      <c r="M41" s="5">
        <v>400</v>
      </c>
      <c r="O41" s="5" t="s">
        <v>203</v>
      </c>
    </row>
    <row r="42" spans="1:15" s="5" customFormat="1" x14ac:dyDescent="0.2">
      <c r="A42" s="5" t="s">
        <v>1</v>
      </c>
      <c r="B42" s="6" t="s">
        <v>329</v>
      </c>
      <c r="C42" s="5" t="s">
        <v>117</v>
      </c>
      <c r="D42" s="5" t="str">
        <f t="shared" si="4"/>
        <v>False</v>
      </c>
      <c r="E42" s="5" t="str">
        <f t="shared" si="5"/>
        <v>True</v>
      </c>
      <c r="F42" s="5" t="s">
        <v>195</v>
      </c>
      <c r="H42" s="5" t="s">
        <v>18</v>
      </c>
      <c r="I42" s="5" t="s">
        <v>31</v>
      </c>
      <c r="J42" s="5">
        <v>70</v>
      </c>
      <c r="K42" s="5" t="s">
        <v>25</v>
      </c>
      <c r="L42" s="5">
        <v>20</v>
      </c>
      <c r="M42" s="5">
        <v>400</v>
      </c>
      <c r="O42" s="5" t="s">
        <v>204</v>
      </c>
    </row>
    <row r="43" spans="1:15" s="5" customFormat="1" x14ac:dyDescent="0.2">
      <c r="A43" s="5" t="s">
        <v>1</v>
      </c>
      <c r="B43" s="6" t="s">
        <v>330</v>
      </c>
      <c r="C43" s="5" t="s">
        <v>117</v>
      </c>
      <c r="D43" s="5" t="str">
        <f t="shared" si="4"/>
        <v>False</v>
      </c>
      <c r="E43" s="5" t="str">
        <f t="shared" si="5"/>
        <v>True</v>
      </c>
      <c r="F43" s="5" t="s">
        <v>196</v>
      </c>
      <c r="H43" s="5" t="s">
        <v>18</v>
      </c>
      <c r="I43" s="5" t="s">
        <v>31</v>
      </c>
      <c r="J43" s="5">
        <v>70</v>
      </c>
      <c r="K43" s="5" t="s">
        <v>25</v>
      </c>
      <c r="L43" s="5">
        <v>20</v>
      </c>
      <c r="M43" s="5">
        <v>400</v>
      </c>
      <c r="O43" s="5" t="s">
        <v>205</v>
      </c>
    </row>
    <row r="44" spans="1:15" s="5" customFormat="1" x14ac:dyDescent="0.2">
      <c r="A44" s="5" t="s">
        <v>1</v>
      </c>
      <c r="B44" s="6" t="s">
        <v>331</v>
      </c>
      <c r="C44" s="5" t="s">
        <v>117</v>
      </c>
      <c r="D44" s="5" t="str">
        <f t="shared" si="4"/>
        <v>False</v>
      </c>
      <c r="E44" s="5" t="str">
        <f t="shared" si="5"/>
        <v>True</v>
      </c>
      <c r="F44" s="5" t="s">
        <v>197</v>
      </c>
      <c r="H44" s="5" t="s">
        <v>18</v>
      </c>
      <c r="I44" s="5" t="s">
        <v>31</v>
      </c>
      <c r="J44" s="5">
        <v>70</v>
      </c>
      <c r="K44" s="5" t="s">
        <v>25</v>
      </c>
      <c r="L44" s="5">
        <v>20</v>
      </c>
      <c r="M44" s="5">
        <v>400</v>
      </c>
      <c r="O44" s="5" t="s">
        <v>206</v>
      </c>
    </row>
    <row r="45" spans="1:15" s="5" customFormat="1" x14ac:dyDescent="0.2">
      <c r="A45" s="5" t="s">
        <v>1</v>
      </c>
      <c r="B45" s="6" t="s">
        <v>332</v>
      </c>
      <c r="C45" s="5" t="s">
        <v>117</v>
      </c>
      <c r="D45" s="5" t="str">
        <f t="shared" si="4"/>
        <v>False</v>
      </c>
      <c r="E45" s="5" t="str">
        <f t="shared" si="5"/>
        <v>True</v>
      </c>
      <c r="F45" s="5" t="s">
        <v>198</v>
      </c>
      <c r="H45" s="5" t="s">
        <v>18</v>
      </c>
      <c r="I45" s="5" t="s">
        <v>31</v>
      </c>
      <c r="J45" s="5">
        <v>70</v>
      </c>
      <c r="K45" s="5" t="s">
        <v>25</v>
      </c>
      <c r="L45" s="5">
        <v>20</v>
      </c>
      <c r="M45" s="5">
        <v>400</v>
      </c>
      <c r="O45" s="5" t="s">
        <v>207</v>
      </c>
    </row>
    <row r="46" spans="1:15" s="5" customFormat="1" x14ac:dyDescent="0.2">
      <c r="A46" s="5" t="s">
        <v>1</v>
      </c>
      <c r="B46" s="6" t="s">
        <v>333</v>
      </c>
      <c r="C46" s="5" t="s">
        <v>117</v>
      </c>
      <c r="D46" s="5" t="str">
        <f t="shared" si="4"/>
        <v>False</v>
      </c>
      <c r="E46" s="5" t="str">
        <f t="shared" si="5"/>
        <v>True</v>
      </c>
      <c r="F46" s="5" t="s">
        <v>199</v>
      </c>
      <c r="H46" s="5" t="s">
        <v>18</v>
      </c>
      <c r="I46" s="5" t="s">
        <v>31</v>
      </c>
      <c r="J46" s="5">
        <v>70</v>
      </c>
      <c r="K46" s="5" t="s">
        <v>25</v>
      </c>
      <c r="L46" s="5">
        <v>20</v>
      </c>
      <c r="M46" s="5">
        <v>400</v>
      </c>
      <c r="O46" s="5" t="s">
        <v>208</v>
      </c>
    </row>
    <row r="47" spans="1:15" s="5" customFormat="1" x14ac:dyDescent="0.2">
      <c r="A47" s="5" t="s">
        <v>1</v>
      </c>
      <c r="B47" s="6" t="s">
        <v>334</v>
      </c>
      <c r="C47" s="5" t="s">
        <v>117</v>
      </c>
      <c r="D47" s="5" t="str">
        <f t="shared" si="4"/>
        <v>False</v>
      </c>
      <c r="E47" s="5" t="str">
        <f t="shared" si="5"/>
        <v>True</v>
      </c>
      <c r="F47" s="5" t="s">
        <v>200</v>
      </c>
      <c r="H47" s="5" t="s">
        <v>18</v>
      </c>
      <c r="I47" s="5" t="s">
        <v>31</v>
      </c>
      <c r="J47" s="5">
        <v>70</v>
      </c>
      <c r="K47" s="5" t="s">
        <v>25</v>
      </c>
      <c r="L47" s="5">
        <v>20</v>
      </c>
      <c r="M47" s="5">
        <v>400</v>
      </c>
      <c r="O47" s="5" t="s">
        <v>209</v>
      </c>
    </row>
    <row r="48" spans="1:15" x14ac:dyDescent="0.2">
      <c r="A48" t="s">
        <v>2</v>
      </c>
      <c r="B48" s="4" t="s">
        <v>286</v>
      </c>
      <c r="C48" t="s">
        <v>12</v>
      </c>
      <c r="D48" t="str">
        <f t="shared" si="4"/>
        <v>False</v>
      </c>
      <c r="E48" t="str">
        <f t="shared" si="5"/>
        <v>True</v>
      </c>
      <c r="F48" t="s">
        <v>63</v>
      </c>
      <c r="H48" t="s">
        <v>19</v>
      </c>
      <c r="I48" t="s">
        <v>31</v>
      </c>
      <c r="J48">
        <v>70</v>
      </c>
      <c r="K48" t="s">
        <v>25</v>
      </c>
      <c r="L48">
        <v>19</v>
      </c>
      <c r="M48">
        <v>500</v>
      </c>
      <c r="O48" t="s">
        <v>62</v>
      </c>
    </row>
    <row r="49" spans="1:15" ht="17" customHeight="1" x14ac:dyDescent="0.2">
      <c r="A49" t="s">
        <v>2</v>
      </c>
      <c r="B49" s="4" t="s">
        <v>287</v>
      </c>
      <c r="C49" t="s">
        <v>12</v>
      </c>
      <c r="D49" t="str">
        <f t="shared" si="4"/>
        <v>False</v>
      </c>
      <c r="E49" t="str">
        <f t="shared" si="5"/>
        <v>True</v>
      </c>
      <c r="F49" t="s">
        <v>64</v>
      </c>
      <c r="H49" t="s">
        <v>19</v>
      </c>
      <c r="I49" t="s">
        <v>31</v>
      </c>
      <c r="J49">
        <v>70</v>
      </c>
      <c r="K49" t="s">
        <v>25</v>
      </c>
      <c r="L49">
        <v>19</v>
      </c>
      <c r="M49">
        <v>500</v>
      </c>
      <c r="O49" t="s">
        <v>62</v>
      </c>
    </row>
    <row r="50" spans="1:15" x14ac:dyDescent="0.2">
      <c r="A50" t="s">
        <v>2</v>
      </c>
      <c r="B50" s="4" t="s">
        <v>288</v>
      </c>
      <c r="C50" t="s">
        <v>12</v>
      </c>
      <c r="D50" t="str">
        <f t="shared" si="4"/>
        <v>False</v>
      </c>
      <c r="E50" t="str">
        <f t="shared" si="5"/>
        <v>True</v>
      </c>
      <c r="F50" t="s">
        <v>65</v>
      </c>
      <c r="H50" t="s">
        <v>19</v>
      </c>
      <c r="I50" t="s">
        <v>31</v>
      </c>
      <c r="J50">
        <v>70</v>
      </c>
      <c r="K50" t="s">
        <v>25</v>
      </c>
      <c r="L50">
        <v>19</v>
      </c>
      <c r="M50">
        <v>500</v>
      </c>
      <c r="O50" t="s">
        <v>62</v>
      </c>
    </row>
    <row r="51" spans="1:15" x14ac:dyDescent="0.2">
      <c r="A51" t="s">
        <v>2</v>
      </c>
      <c r="B51" s="4" t="s">
        <v>289</v>
      </c>
      <c r="C51" t="s">
        <v>12</v>
      </c>
      <c r="D51" t="str">
        <f t="shared" si="4"/>
        <v>False</v>
      </c>
      <c r="E51" t="str">
        <f t="shared" si="5"/>
        <v>True</v>
      </c>
      <c r="F51" t="s">
        <v>66</v>
      </c>
      <c r="H51" t="s">
        <v>19</v>
      </c>
      <c r="I51" t="s">
        <v>31</v>
      </c>
      <c r="J51">
        <v>70</v>
      </c>
      <c r="K51" t="s">
        <v>25</v>
      </c>
      <c r="L51">
        <v>19</v>
      </c>
      <c r="M51">
        <v>500</v>
      </c>
      <c r="O51" t="s">
        <v>62</v>
      </c>
    </row>
    <row r="52" spans="1:15" x14ac:dyDescent="0.2">
      <c r="A52" t="s">
        <v>2</v>
      </c>
      <c r="B52" s="4" t="s">
        <v>290</v>
      </c>
      <c r="C52" t="s">
        <v>12</v>
      </c>
      <c r="D52" t="str">
        <f t="shared" si="4"/>
        <v>False</v>
      </c>
      <c r="E52" t="str">
        <f t="shared" si="5"/>
        <v>True</v>
      </c>
      <c r="F52" t="s">
        <v>67</v>
      </c>
      <c r="H52" t="s">
        <v>19</v>
      </c>
      <c r="I52" t="s">
        <v>31</v>
      </c>
      <c r="J52">
        <v>70</v>
      </c>
      <c r="K52" t="s">
        <v>25</v>
      </c>
      <c r="L52">
        <v>19</v>
      </c>
      <c r="M52">
        <v>500</v>
      </c>
      <c r="O52" t="s">
        <v>62</v>
      </c>
    </row>
    <row r="53" spans="1:15" x14ac:dyDescent="0.2">
      <c r="A53" t="s">
        <v>2</v>
      </c>
      <c r="B53" s="4" t="s">
        <v>291</v>
      </c>
      <c r="C53" t="s">
        <v>12</v>
      </c>
      <c r="D53" t="str">
        <f t="shared" si="4"/>
        <v>False</v>
      </c>
      <c r="E53" t="str">
        <f t="shared" si="5"/>
        <v>True</v>
      </c>
      <c r="F53" t="s">
        <v>68</v>
      </c>
      <c r="H53" t="s">
        <v>19</v>
      </c>
      <c r="I53" t="s">
        <v>31</v>
      </c>
      <c r="J53">
        <v>70</v>
      </c>
      <c r="K53" t="s">
        <v>25</v>
      </c>
      <c r="L53">
        <v>19</v>
      </c>
      <c r="M53">
        <v>500</v>
      </c>
      <c r="O53" t="s">
        <v>62</v>
      </c>
    </row>
    <row r="54" spans="1:15" x14ac:dyDescent="0.2">
      <c r="A54" t="s">
        <v>2</v>
      </c>
      <c r="B54" s="4" t="s">
        <v>292</v>
      </c>
      <c r="C54" t="s">
        <v>12</v>
      </c>
      <c r="D54" t="str">
        <f t="shared" si="4"/>
        <v>False</v>
      </c>
      <c r="E54" t="str">
        <f t="shared" si="5"/>
        <v>True</v>
      </c>
      <c r="F54" t="s">
        <v>69</v>
      </c>
      <c r="H54" t="s">
        <v>19</v>
      </c>
      <c r="I54" t="s">
        <v>31</v>
      </c>
      <c r="J54">
        <v>70</v>
      </c>
      <c r="K54" t="s">
        <v>25</v>
      </c>
      <c r="L54">
        <v>19</v>
      </c>
      <c r="M54">
        <v>500</v>
      </c>
      <c r="O54" t="s">
        <v>62</v>
      </c>
    </row>
    <row r="55" spans="1:15" x14ac:dyDescent="0.2">
      <c r="A55" t="s">
        <v>2</v>
      </c>
      <c r="B55" s="4" t="s">
        <v>293</v>
      </c>
      <c r="C55" t="s">
        <v>12</v>
      </c>
      <c r="D55" t="str">
        <f t="shared" si="4"/>
        <v>False</v>
      </c>
      <c r="E55" t="str">
        <f t="shared" si="5"/>
        <v>True</v>
      </c>
      <c r="F55" t="s">
        <v>70</v>
      </c>
      <c r="H55" t="s">
        <v>19</v>
      </c>
      <c r="I55" t="s">
        <v>31</v>
      </c>
      <c r="J55">
        <v>70</v>
      </c>
      <c r="K55" t="s">
        <v>25</v>
      </c>
      <c r="L55">
        <v>19</v>
      </c>
      <c r="M55">
        <v>500</v>
      </c>
      <c r="O55" t="s">
        <v>62</v>
      </c>
    </row>
    <row r="56" spans="1:15" x14ac:dyDescent="0.2">
      <c r="A56" t="s">
        <v>2</v>
      </c>
      <c r="B56" s="4" t="s">
        <v>294</v>
      </c>
      <c r="C56" t="s">
        <v>12</v>
      </c>
      <c r="D56" t="str">
        <f t="shared" si="4"/>
        <v>False</v>
      </c>
      <c r="E56" t="str">
        <f t="shared" si="5"/>
        <v>True</v>
      </c>
      <c r="F56" t="s">
        <v>71</v>
      </c>
      <c r="H56" t="s">
        <v>19</v>
      </c>
      <c r="I56" t="s">
        <v>31</v>
      </c>
      <c r="J56">
        <v>70</v>
      </c>
      <c r="K56" t="s">
        <v>25</v>
      </c>
      <c r="L56">
        <v>19</v>
      </c>
      <c r="M56">
        <v>500</v>
      </c>
      <c r="O56" t="s">
        <v>62</v>
      </c>
    </row>
    <row r="57" spans="1:15" x14ac:dyDescent="0.2">
      <c r="A57" t="s">
        <v>2</v>
      </c>
      <c r="B57" s="4" t="s">
        <v>295</v>
      </c>
      <c r="C57" t="s">
        <v>12</v>
      </c>
      <c r="D57" t="str">
        <f t="shared" si="4"/>
        <v>False</v>
      </c>
      <c r="E57" t="str">
        <f t="shared" si="5"/>
        <v>True</v>
      </c>
      <c r="F57" t="s">
        <v>72</v>
      </c>
      <c r="H57" t="s">
        <v>19</v>
      </c>
      <c r="I57" t="s">
        <v>31</v>
      </c>
      <c r="J57">
        <v>70</v>
      </c>
      <c r="K57" t="s">
        <v>25</v>
      </c>
      <c r="L57">
        <v>19</v>
      </c>
      <c r="M57">
        <v>500</v>
      </c>
      <c r="O57" t="s">
        <v>73</v>
      </c>
    </row>
    <row r="58" spans="1:15" x14ac:dyDescent="0.2">
      <c r="A58" t="s">
        <v>2</v>
      </c>
      <c r="B58" s="4" t="s">
        <v>296</v>
      </c>
      <c r="C58" t="s">
        <v>12</v>
      </c>
      <c r="D58" t="str">
        <f t="shared" si="4"/>
        <v>False</v>
      </c>
      <c r="E58" t="str">
        <f t="shared" si="5"/>
        <v>True</v>
      </c>
      <c r="F58" t="s">
        <v>74</v>
      </c>
      <c r="H58" t="s">
        <v>19</v>
      </c>
      <c r="I58" t="s">
        <v>31</v>
      </c>
      <c r="J58">
        <v>70</v>
      </c>
      <c r="K58" t="s">
        <v>25</v>
      </c>
      <c r="L58">
        <v>19</v>
      </c>
      <c r="M58">
        <v>500</v>
      </c>
      <c r="O58" t="s">
        <v>76</v>
      </c>
    </row>
    <row r="59" spans="1:15" x14ac:dyDescent="0.2">
      <c r="A59" t="s">
        <v>2</v>
      </c>
      <c r="B59" s="4" t="s">
        <v>297</v>
      </c>
      <c r="C59" t="s">
        <v>12</v>
      </c>
      <c r="D59" t="str">
        <f t="shared" si="4"/>
        <v>False</v>
      </c>
      <c r="E59" t="str">
        <f t="shared" si="5"/>
        <v>True</v>
      </c>
      <c r="F59" t="s">
        <v>75</v>
      </c>
      <c r="H59" t="s">
        <v>19</v>
      </c>
      <c r="I59" t="s">
        <v>31</v>
      </c>
      <c r="J59">
        <v>70</v>
      </c>
      <c r="K59" t="s">
        <v>25</v>
      </c>
      <c r="L59">
        <v>19</v>
      </c>
      <c r="M59">
        <v>500</v>
      </c>
      <c r="O59" t="s">
        <v>76</v>
      </c>
    </row>
    <row r="60" spans="1:15" x14ac:dyDescent="0.2">
      <c r="A60" t="s">
        <v>2</v>
      </c>
      <c r="B60" s="4" t="s">
        <v>298</v>
      </c>
      <c r="C60" t="s">
        <v>12</v>
      </c>
      <c r="D60" t="str">
        <f t="shared" si="4"/>
        <v>False</v>
      </c>
      <c r="E60" t="str">
        <f t="shared" si="5"/>
        <v>True</v>
      </c>
      <c r="F60" t="s">
        <v>77</v>
      </c>
      <c r="H60" t="s">
        <v>19</v>
      </c>
      <c r="I60" t="s">
        <v>31</v>
      </c>
      <c r="J60">
        <v>70</v>
      </c>
      <c r="K60" t="s">
        <v>25</v>
      </c>
      <c r="L60">
        <v>19</v>
      </c>
      <c r="M60">
        <v>500</v>
      </c>
      <c r="O60" t="s">
        <v>76</v>
      </c>
    </row>
    <row r="61" spans="1:15" x14ac:dyDescent="0.2">
      <c r="A61" t="s">
        <v>2</v>
      </c>
      <c r="B61" s="4" t="s">
        <v>299</v>
      </c>
      <c r="C61" t="s">
        <v>12</v>
      </c>
      <c r="D61" t="str">
        <f t="shared" si="4"/>
        <v>False</v>
      </c>
      <c r="E61" t="str">
        <f t="shared" si="5"/>
        <v>True</v>
      </c>
      <c r="F61" t="s">
        <v>78</v>
      </c>
      <c r="H61" t="s">
        <v>19</v>
      </c>
      <c r="I61" t="s">
        <v>31</v>
      </c>
      <c r="J61">
        <v>70</v>
      </c>
      <c r="K61" t="s">
        <v>25</v>
      </c>
      <c r="L61">
        <v>19</v>
      </c>
      <c r="M61">
        <v>500</v>
      </c>
      <c r="O61" t="s">
        <v>79</v>
      </c>
    </row>
    <row r="62" spans="1:15" x14ac:dyDescent="0.2">
      <c r="A62" t="s">
        <v>2</v>
      </c>
      <c r="B62" s="4" t="s">
        <v>300</v>
      </c>
      <c r="C62" t="s">
        <v>12</v>
      </c>
      <c r="D62" t="str">
        <f t="shared" si="4"/>
        <v>False</v>
      </c>
      <c r="E62" t="str">
        <f t="shared" si="5"/>
        <v>True</v>
      </c>
      <c r="F62" t="s">
        <v>80</v>
      </c>
      <c r="H62" t="s">
        <v>19</v>
      </c>
      <c r="I62" t="s">
        <v>31</v>
      </c>
      <c r="J62">
        <v>70</v>
      </c>
      <c r="K62" t="s">
        <v>25</v>
      </c>
      <c r="L62">
        <v>19</v>
      </c>
      <c r="M62">
        <v>500</v>
      </c>
      <c r="O62" t="s">
        <v>79</v>
      </c>
    </row>
    <row r="63" spans="1:15" x14ac:dyDescent="0.2">
      <c r="A63" t="s">
        <v>2</v>
      </c>
      <c r="B63" s="4" t="s">
        <v>301</v>
      </c>
      <c r="C63" t="s">
        <v>117</v>
      </c>
      <c r="D63" t="str">
        <f t="shared" si="4"/>
        <v>False</v>
      </c>
      <c r="E63" t="str">
        <f t="shared" si="5"/>
        <v>True</v>
      </c>
      <c r="F63" t="s">
        <v>162</v>
      </c>
      <c r="H63" t="s">
        <v>19</v>
      </c>
      <c r="I63" t="s">
        <v>31</v>
      </c>
      <c r="J63">
        <v>70</v>
      </c>
      <c r="K63" t="s">
        <v>25</v>
      </c>
      <c r="L63">
        <v>19</v>
      </c>
      <c r="M63">
        <v>400</v>
      </c>
      <c r="O63" t="s">
        <v>177</v>
      </c>
    </row>
    <row r="64" spans="1:15" x14ac:dyDescent="0.2">
      <c r="A64" t="s">
        <v>2</v>
      </c>
      <c r="B64" s="4" t="s">
        <v>302</v>
      </c>
      <c r="C64" t="s">
        <v>117</v>
      </c>
      <c r="D64" t="str">
        <f t="shared" si="4"/>
        <v>False</v>
      </c>
      <c r="E64" t="str">
        <f t="shared" si="5"/>
        <v>True</v>
      </c>
      <c r="F64" t="s">
        <v>163</v>
      </c>
      <c r="H64" t="s">
        <v>19</v>
      </c>
      <c r="I64" t="s">
        <v>31</v>
      </c>
      <c r="J64">
        <v>70</v>
      </c>
      <c r="K64" t="s">
        <v>25</v>
      </c>
      <c r="L64">
        <v>19</v>
      </c>
      <c r="M64">
        <v>400</v>
      </c>
      <c r="O64" t="s">
        <v>178</v>
      </c>
    </row>
    <row r="65" spans="1:15" x14ac:dyDescent="0.2">
      <c r="A65" t="s">
        <v>2</v>
      </c>
      <c r="B65" s="4" t="s">
        <v>303</v>
      </c>
      <c r="C65" t="s">
        <v>117</v>
      </c>
      <c r="D65" t="str">
        <f t="shared" si="4"/>
        <v>False</v>
      </c>
      <c r="E65" t="str">
        <f t="shared" si="5"/>
        <v>True</v>
      </c>
      <c r="F65" t="s">
        <v>164</v>
      </c>
      <c r="H65" t="s">
        <v>19</v>
      </c>
      <c r="I65" t="s">
        <v>31</v>
      </c>
      <c r="J65">
        <v>70</v>
      </c>
      <c r="K65" t="s">
        <v>25</v>
      </c>
      <c r="L65">
        <v>19</v>
      </c>
      <c r="M65">
        <v>400</v>
      </c>
      <c r="O65" t="s">
        <v>179</v>
      </c>
    </row>
    <row r="66" spans="1:15" x14ac:dyDescent="0.2">
      <c r="A66" t="s">
        <v>2</v>
      </c>
      <c r="B66" s="4" t="s">
        <v>304</v>
      </c>
      <c r="C66" t="s">
        <v>117</v>
      </c>
      <c r="D66" t="str">
        <f t="shared" si="4"/>
        <v>False</v>
      </c>
      <c r="E66" t="str">
        <f t="shared" si="5"/>
        <v>True</v>
      </c>
      <c r="F66" t="s">
        <v>165</v>
      </c>
      <c r="H66" t="s">
        <v>19</v>
      </c>
      <c r="I66" t="s">
        <v>31</v>
      </c>
      <c r="J66">
        <v>70</v>
      </c>
      <c r="K66" t="s">
        <v>25</v>
      </c>
      <c r="L66">
        <v>19</v>
      </c>
      <c r="M66">
        <v>400</v>
      </c>
      <c r="O66" t="s">
        <v>180</v>
      </c>
    </row>
    <row r="67" spans="1:15" x14ac:dyDescent="0.2">
      <c r="A67" t="s">
        <v>2</v>
      </c>
      <c r="B67" s="4" t="s">
        <v>305</v>
      </c>
      <c r="C67" t="s">
        <v>117</v>
      </c>
      <c r="D67" t="str">
        <f t="shared" si="4"/>
        <v>False</v>
      </c>
      <c r="E67" t="str">
        <f t="shared" si="5"/>
        <v>True</v>
      </c>
      <c r="F67" t="s">
        <v>166</v>
      </c>
      <c r="H67" t="s">
        <v>19</v>
      </c>
      <c r="I67" t="s">
        <v>31</v>
      </c>
      <c r="J67">
        <v>70</v>
      </c>
      <c r="K67" t="s">
        <v>25</v>
      </c>
      <c r="L67">
        <v>19</v>
      </c>
      <c r="M67">
        <v>400</v>
      </c>
      <c r="O67" t="s">
        <v>181</v>
      </c>
    </row>
    <row r="68" spans="1:15" x14ac:dyDescent="0.2">
      <c r="A68" t="s">
        <v>2</v>
      </c>
      <c r="B68" s="4" t="s">
        <v>306</v>
      </c>
      <c r="C68" t="s">
        <v>117</v>
      </c>
      <c r="D68" t="str">
        <f t="shared" si="4"/>
        <v>False</v>
      </c>
      <c r="E68" t="str">
        <f t="shared" si="5"/>
        <v>True</v>
      </c>
      <c r="F68" t="s">
        <v>167</v>
      </c>
      <c r="H68" t="s">
        <v>19</v>
      </c>
      <c r="I68" t="s">
        <v>31</v>
      </c>
      <c r="J68">
        <v>70</v>
      </c>
      <c r="K68" t="s">
        <v>25</v>
      </c>
      <c r="L68">
        <v>19</v>
      </c>
      <c r="M68">
        <v>400</v>
      </c>
      <c r="O68" t="s">
        <v>182</v>
      </c>
    </row>
    <row r="69" spans="1:15" x14ac:dyDescent="0.2">
      <c r="A69" t="s">
        <v>2</v>
      </c>
      <c r="B69" s="4" t="s">
        <v>307</v>
      </c>
      <c r="C69" t="s">
        <v>117</v>
      </c>
      <c r="D69" t="str">
        <f t="shared" si="4"/>
        <v>False</v>
      </c>
      <c r="E69" t="str">
        <f t="shared" si="5"/>
        <v>True</v>
      </c>
      <c r="F69" t="s">
        <v>168</v>
      </c>
      <c r="H69" t="s">
        <v>19</v>
      </c>
      <c r="I69" t="s">
        <v>31</v>
      </c>
      <c r="J69">
        <v>70</v>
      </c>
      <c r="K69" t="s">
        <v>25</v>
      </c>
      <c r="L69">
        <v>19</v>
      </c>
      <c r="M69">
        <v>400</v>
      </c>
      <c r="O69" t="s">
        <v>183</v>
      </c>
    </row>
    <row r="70" spans="1:15" x14ac:dyDescent="0.2">
      <c r="A70" t="s">
        <v>2</v>
      </c>
      <c r="B70" s="4" t="s">
        <v>308</v>
      </c>
      <c r="C70" t="s">
        <v>117</v>
      </c>
      <c r="D70" t="str">
        <f t="shared" si="4"/>
        <v>False</v>
      </c>
      <c r="E70" t="str">
        <f t="shared" si="5"/>
        <v>True</v>
      </c>
      <c r="F70" t="s">
        <v>169</v>
      </c>
      <c r="H70" t="s">
        <v>19</v>
      </c>
      <c r="I70" t="s">
        <v>31</v>
      </c>
      <c r="J70">
        <v>70</v>
      </c>
      <c r="K70" t="s">
        <v>25</v>
      </c>
      <c r="L70">
        <v>19</v>
      </c>
      <c r="M70">
        <v>400</v>
      </c>
      <c r="O70" t="s">
        <v>184</v>
      </c>
    </row>
    <row r="71" spans="1:15" x14ac:dyDescent="0.2">
      <c r="A71" t="s">
        <v>2</v>
      </c>
      <c r="B71" s="4" t="s">
        <v>309</v>
      </c>
      <c r="C71" t="s">
        <v>117</v>
      </c>
      <c r="D71" t="str">
        <f t="shared" si="4"/>
        <v>False</v>
      </c>
      <c r="E71" t="str">
        <f t="shared" si="5"/>
        <v>True</v>
      </c>
      <c r="F71" t="s">
        <v>170</v>
      </c>
      <c r="H71" t="s">
        <v>19</v>
      </c>
      <c r="I71" t="s">
        <v>31</v>
      </c>
      <c r="J71">
        <v>70</v>
      </c>
      <c r="K71" t="s">
        <v>25</v>
      </c>
      <c r="L71">
        <v>19</v>
      </c>
      <c r="M71">
        <v>400</v>
      </c>
      <c r="O71" t="s">
        <v>185</v>
      </c>
    </row>
    <row r="72" spans="1:15" x14ac:dyDescent="0.2">
      <c r="A72" t="s">
        <v>2</v>
      </c>
      <c r="B72" s="4" t="s">
        <v>310</v>
      </c>
      <c r="C72" t="s">
        <v>117</v>
      </c>
      <c r="D72" t="str">
        <f t="shared" si="4"/>
        <v>False</v>
      </c>
      <c r="E72" t="str">
        <f t="shared" si="5"/>
        <v>True</v>
      </c>
      <c r="F72" t="s">
        <v>171</v>
      </c>
      <c r="H72" t="s">
        <v>19</v>
      </c>
      <c r="I72" t="s">
        <v>31</v>
      </c>
      <c r="J72">
        <v>70</v>
      </c>
      <c r="K72" t="s">
        <v>25</v>
      </c>
      <c r="L72">
        <v>19</v>
      </c>
      <c r="M72">
        <v>400</v>
      </c>
      <c r="O72" t="s">
        <v>186</v>
      </c>
    </row>
    <row r="73" spans="1:15" x14ac:dyDescent="0.2">
      <c r="A73" t="s">
        <v>2</v>
      </c>
      <c r="B73" s="4" t="s">
        <v>311</v>
      </c>
      <c r="C73" t="s">
        <v>117</v>
      </c>
      <c r="D73" t="str">
        <f t="shared" si="4"/>
        <v>False</v>
      </c>
      <c r="E73" t="str">
        <f t="shared" si="5"/>
        <v>True</v>
      </c>
      <c r="F73" t="s">
        <v>172</v>
      </c>
      <c r="H73" t="s">
        <v>19</v>
      </c>
      <c r="I73" t="s">
        <v>31</v>
      </c>
      <c r="J73">
        <v>70</v>
      </c>
      <c r="K73" t="s">
        <v>25</v>
      </c>
      <c r="L73">
        <v>19</v>
      </c>
      <c r="M73">
        <v>400</v>
      </c>
      <c r="O73" t="s">
        <v>187</v>
      </c>
    </row>
    <row r="74" spans="1:15" x14ac:dyDescent="0.2">
      <c r="A74" t="s">
        <v>2</v>
      </c>
      <c r="B74" s="4" t="s">
        <v>312</v>
      </c>
      <c r="C74" t="s">
        <v>117</v>
      </c>
      <c r="D74" t="str">
        <f t="shared" si="4"/>
        <v>False</v>
      </c>
      <c r="E74" t="str">
        <f t="shared" si="5"/>
        <v>True</v>
      </c>
      <c r="F74" t="s">
        <v>173</v>
      </c>
      <c r="H74" t="s">
        <v>19</v>
      </c>
      <c r="I74" t="s">
        <v>31</v>
      </c>
      <c r="J74">
        <v>70</v>
      </c>
      <c r="K74" t="s">
        <v>25</v>
      </c>
      <c r="L74">
        <v>19</v>
      </c>
      <c r="M74">
        <v>400</v>
      </c>
      <c r="O74" t="s">
        <v>188</v>
      </c>
    </row>
    <row r="75" spans="1:15" x14ac:dyDescent="0.2">
      <c r="A75" t="s">
        <v>2</v>
      </c>
      <c r="B75" s="4" t="s">
        <v>313</v>
      </c>
      <c r="C75" t="s">
        <v>117</v>
      </c>
      <c r="D75" t="str">
        <f t="shared" si="4"/>
        <v>False</v>
      </c>
      <c r="E75" t="str">
        <f t="shared" si="5"/>
        <v>True</v>
      </c>
      <c r="F75" t="s">
        <v>174</v>
      </c>
      <c r="H75" t="s">
        <v>19</v>
      </c>
      <c r="I75" t="s">
        <v>31</v>
      </c>
      <c r="J75">
        <v>70</v>
      </c>
      <c r="K75" t="s">
        <v>25</v>
      </c>
      <c r="L75">
        <v>19</v>
      </c>
      <c r="M75">
        <v>400</v>
      </c>
      <c r="O75" t="s">
        <v>189</v>
      </c>
    </row>
    <row r="76" spans="1:15" x14ac:dyDescent="0.2">
      <c r="A76" t="s">
        <v>2</v>
      </c>
      <c r="B76" s="4" t="s">
        <v>314</v>
      </c>
      <c r="C76" t="s">
        <v>117</v>
      </c>
      <c r="D76" t="str">
        <f t="shared" si="4"/>
        <v>False</v>
      </c>
      <c r="E76" t="str">
        <f t="shared" si="5"/>
        <v>True</v>
      </c>
      <c r="F76" t="s">
        <v>175</v>
      </c>
      <c r="H76" t="s">
        <v>19</v>
      </c>
      <c r="I76" t="s">
        <v>31</v>
      </c>
      <c r="J76">
        <v>70</v>
      </c>
      <c r="K76" t="s">
        <v>25</v>
      </c>
      <c r="L76">
        <v>19</v>
      </c>
      <c r="M76">
        <v>400</v>
      </c>
      <c r="O76" t="s">
        <v>190</v>
      </c>
    </row>
    <row r="77" spans="1:15" x14ac:dyDescent="0.2">
      <c r="A77" t="s">
        <v>2</v>
      </c>
      <c r="B77" s="4" t="s">
        <v>315</v>
      </c>
      <c r="C77" t="s">
        <v>117</v>
      </c>
      <c r="D77" t="str">
        <f t="shared" si="4"/>
        <v>False</v>
      </c>
      <c r="E77" t="str">
        <f t="shared" si="5"/>
        <v>True</v>
      </c>
      <c r="F77" t="s">
        <v>176</v>
      </c>
      <c r="H77" t="s">
        <v>19</v>
      </c>
      <c r="I77" t="s">
        <v>31</v>
      </c>
      <c r="J77">
        <v>70</v>
      </c>
      <c r="K77" t="s">
        <v>25</v>
      </c>
      <c r="L77">
        <v>19</v>
      </c>
      <c r="M77">
        <v>400</v>
      </c>
      <c r="O77" t="s">
        <v>191</v>
      </c>
    </row>
    <row r="78" spans="1:15" s="5" customFormat="1" x14ac:dyDescent="0.2">
      <c r="A78" s="5" t="s">
        <v>3</v>
      </c>
      <c r="B78" s="6" t="s">
        <v>275</v>
      </c>
      <c r="C78" s="5" t="s">
        <v>12</v>
      </c>
      <c r="D78" s="5" t="str">
        <f t="shared" si="4"/>
        <v>False</v>
      </c>
      <c r="E78" s="5" t="str">
        <f t="shared" si="5"/>
        <v>True</v>
      </c>
      <c r="F78" s="5" t="s">
        <v>82</v>
      </c>
      <c r="H78" s="5" t="s">
        <v>20</v>
      </c>
      <c r="I78" s="5" t="s">
        <v>31</v>
      </c>
      <c r="J78" s="5">
        <v>70</v>
      </c>
      <c r="K78" s="5" t="s">
        <v>25</v>
      </c>
      <c r="L78" s="5">
        <v>20</v>
      </c>
      <c r="M78" s="5">
        <v>600</v>
      </c>
      <c r="O78" s="5" t="s">
        <v>81</v>
      </c>
    </row>
    <row r="79" spans="1:15" s="5" customFormat="1" x14ac:dyDescent="0.2">
      <c r="A79" s="5" t="s">
        <v>3</v>
      </c>
      <c r="B79" s="6" t="s">
        <v>276</v>
      </c>
      <c r="C79" s="5" t="s">
        <v>12</v>
      </c>
      <c r="D79" s="5" t="str">
        <f t="shared" si="4"/>
        <v>False</v>
      </c>
      <c r="E79" s="5" t="str">
        <f t="shared" si="5"/>
        <v>True</v>
      </c>
      <c r="F79" s="5" t="s">
        <v>83</v>
      </c>
      <c r="H79" s="5" t="s">
        <v>20</v>
      </c>
      <c r="I79" s="5" t="s">
        <v>31</v>
      </c>
      <c r="J79" s="5">
        <v>70</v>
      </c>
      <c r="K79" s="5" t="s">
        <v>25</v>
      </c>
      <c r="L79" s="5">
        <v>20</v>
      </c>
      <c r="M79" s="5">
        <v>600</v>
      </c>
      <c r="O79" s="5" t="s">
        <v>81</v>
      </c>
    </row>
    <row r="80" spans="1:15" s="5" customFormat="1" x14ac:dyDescent="0.2">
      <c r="A80" s="5" t="s">
        <v>3</v>
      </c>
      <c r="B80" s="6" t="s">
        <v>277</v>
      </c>
      <c r="C80" s="5" t="s">
        <v>12</v>
      </c>
      <c r="D80" s="5" t="str">
        <f t="shared" si="4"/>
        <v>False</v>
      </c>
      <c r="E80" s="5" t="str">
        <f t="shared" si="5"/>
        <v>True</v>
      </c>
      <c r="F80" s="5" t="s">
        <v>84</v>
      </c>
      <c r="H80" s="5" t="s">
        <v>20</v>
      </c>
      <c r="I80" s="5" t="s">
        <v>31</v>
      </c>
      <c r="J80" s="5">
        <v>70</v>
      </c>
      <c r="K80" s="5" t="s">
        <v>25</v>
      </c>
      <c r="L80" s="5">
        <v>20</v>
      </c>
      <c r="M80" s="5">
        <v>600</v>
      </c>
      <c r="O80" s="5" t="s">
        <v>81</v>
      </c>
    </row>
    <row r="81" spans="1:15" s="5" customFormat="1" x14ac:dyDescent="0.2">
      <c r="A81" s="5" t="s">
        <v>3</v>
      </c>
      <c r="B81" s="6" t="s">
        <v>278</v>
      </c>
      <c r="C81" s="5" t="s">
        <v>12</v>
      </c>
      <c r="D81" s="5" t="str">
        <f t="shared" si="4"/>
        <v>False</v>
      </c>
      <c r="E81" s="5" t="str">
        <f t="shared" si="5"/>
        <v>True</v>
      </c>
      <c r="F81" s="5" t="s">
        <v>85</v>
      </c>
      <c r="H81" s="5" t="s">
        <v>20</v>
      </c>
      <c r="I81" s="5" t="s">
        <v>31</v>
      </c>
      <c r="J81" s="5">
        <v>70</v>
      </c>
      <c r="K81" s="5" t="s">
        <v>25</v>
      </c>
      <c r="L81" s="5">
        <v>20</v>
      </c>
      <c r="M81" s="5">
        <v>600</v>
      </c>
      <c r="O81" s="5" t="s">
        <v>86</v>
      </c>
    </row>
    <row r="82" spans="1:15" s="5" customFormat="1" x14ac:dyDescent="0.2">
      <c r="A82" s="5" t="s">
        <v>3</v>
      </c>
      <c r="B82" s="6" t="s">
        <v>279</v>
      </c>
      <c r="C82" s="5" t="s">
        <v>12</v>
      </c>
      <c r="D82" s="5" t="str">
        <f t="shared" si="4"/>
        <v>False</v>
      </c>
      <c r="E82" s="5" t="str">
        <f t="shared" si="5"/>
        <v>True</v>
      </c>
      <c r="F82" s="5" t="s">
        <v>87</v>
      </c>
      <c r="H82" s="5" t="s">
        <v>20</v>
      </c>
      <c r="I82" s="5" t="s">
        <v>31</v>
      </c>
      <c r="J82" s="5">
        <v>70</v>
      </c>
      <c r="K82" s="5" t="s">
        <v>25</v>
      </c>
      <c r="L82" s="5">
        <v>20</v>
      </c>
      <c r="M82" s="5">
        <v>600</v>
      </c>
      <c r="O82" s="5" t="s">
        <v>88</v>
      </c>
    </row>
    <row r="83" spans="1:15" s="5" customFormat="1" x14ac:dyDescent="0.2">
      <c r="A83" s="5" t="s">
        <v>3</v>
      </c>
      <c r="B83" s="6" t="s">
        <v>280</v>
      </c>
      <c r="C83" s="5" t="s">
        <v>117</v>
      </c>
      <c r="D83" s="5" t="str">
        <f t="shared" si="4"/>
        <v>False</v>
      </c>
      <c r="E83" s="5" t="str">
        <f t="shared" si="5"/>
        <v>True</v>
      </c>
      <c r="F83" s="5" t="s">
        <v>152</v>
      </c>
      <c r="H83" s="5" t="s">
        <v>20</v>
      </c>
      <c r="I83" s="5" t="s">
        <v>31</v>
      </c>
      <c r="J83" s="5">
        <v>70</v>
      </c>
      <c r="K83" s="5" t="s">
        <v>25</v>
      </c>
      <c r="L83" s="5">
        <v>20</v>
      </c>
      <c r="M83" s="5">
        <v>400</v>
      </c>
      <c r="O83" s="5" t="s">
        <v>157</v>
      </c>
    </row>
    <row r="84" spans="1:15" s="5" customFormat="1" x14ac:dyDescent="0.2">
      <c r="A84" s="5" t="s">
        <v>3</v>
      </c>
      <c r="B84" s="6" t="s">
        <v>281</v>
      </c>
      <c r="C84" s="5" t="s">
        <v>117</v>
      </c>
      <c r="D84" s="5" t="str">
        <f t="shared" si="4"/>
        <v>False</v>
      </c>
      <c r="E84" s="5" t="str">
        <f t="shared" si="5"/>
        <v>True</v>
      </c>
      <c r="F84" s="5" t="s">
        <v>153</v>
      </c>
      <c r="H84" s="5" t="s">
        <v>20</v>
      </c>
      <c r="I84" s="5" t="s">
        <v>31</v>
      </c>
      <c r="J84" s="5">
        <v>70</v>
      </c>
      <c r="K84" s="5" t="s">
        <v>25</v>
      </c>
      <c r="L84" s="5">
        <v>20</v>
      </c>
      <c r="M84" s="5">
        <v>400</v>
      </c>
      <c r="O84" s="5" t="s">
        <v>158</v>
      </c>
    </row>
    <row r="85" spans="1:15" s="5" customFormat="1" x14ac:dyDescent="0.2">
      <c r="A85" s="5" t="s">
        <v>3</v>
      </c>
      <c r="B85" s="6" t="s">
        <v>282</v>
      </c>
      <c r="C85" s="5" t="s">
        <v>117</v>
      </c>
      <c r="D85" s="5" t="str">
        <f t="shared" si="4"/>
        <v>False</v>
      </c>
      <c r="E85" s="5" t="str">
        <f t="shared" si="5"/>
        <v>True</v>
      </c>
      <c r="F85" s="5" t="s">
        <v>154</v>
      </c>
      <c r="H85" s="5" t="s">
        <v>20</v>
      </c>
      <c r="I85" s="5" t="s">
        <v>31</v>
      </c>
      <c r="J85" s="5">
        <v>70</v>
      </c>
      <c r="K85" s="5" t="s">
        <v>25</v>
      </c>
      <c r="L85" s="5">
        <v>20</v>
      </c>
      <c r="M85" s="5">
        <v>400</v>
      </c>
      <c r="O85" s="5" t="s">
        <v>159</v>
      </c>
    </row>
    <row r="86" spans="1:15" s="5" customFormat="1" x14ac:dyDescent="0.2">
      <c r="A86" s="5" t="s">
        <v>3</v>
      </c>
      <c r="B86" s="6" t="s">
        <v>283</v>
      </c>
      <c r="C86" s="5" t="s">
        <v>117</v>
      </c>
      <c r="D86" s="5" t="str">
        <f t="shared" si="4"/>
        <v>False</v>
      </c>
      <c r="E86" s="5" t="str">
        <f t="shared" si="5"/>
        <v>True</v>
      </c>
      <c r="F86" s="5" t="s">
        <v>155</v>
      </c>
      <c r="H86" s="5" t="s">
        <v>20</v>
      </c>
      <c r="I86" s="5" t="s">
        <v>31</v>
      </c>
      <c r="J86" s="5">
        <v>70</v>
      </c>
      <c r="K86" s="5" t="s">
        <v>25</v>
      </c>
      <c r="L86" s="5">
        <v>20</v>
      </c>
      <c r="M86" s="5">
        <v>400</v>
      </c>
      <c r="O86" s="5" t="s">
        <v>160</v>
      </c>
    </row>
    <row r="87" spans="1:15" s="5" customFormat="1" x14ac:dyDescent="0.2">
      <c r="A87" s="5" t="s">
        <v>3</v>
      </c>
      <c r="B87" s="6" t="s">
        <v>284</v>
      </c>
      <c r="C87" s="5" t="s">
        <v>117</v>
      </c>
      <c r="D87" s="5" t="str">
        <f t="shared" si="4"/>
        <v>False</v>
      </c>
      <c r="E87" s="5" t="str">
        <f t="shared" si="5"/>
        <v>True</v>
      </c>
      <c r="F87" s="5" t="s">
        <v>156</v>
      </c>
      <c r="H87" s="5" t="s">
        <v>20</v>
      </c>
      <c r="I87" s="5" t="s">
        <v>31</v>
      </c>
      <c r="J87" s="5">
        <v>70</v>
      </c>
      <c r="K87" s="5" t="s">
        <v>25</v>
      </c>
      <c r="L87" s="5">
        <v>20</v>
      </c>
      <c r="M87" s="5">
        <v>400</v>
      </c>
      <c r="O87" s="5" t="s">
        <v>161</v>
      </c>
    </row>
    <row r="88" spans="1:15" x14ac:dyDescent="0.2">
      <c r="A88" t="s">
        <v>4</v>
      </c>
      <c r="B88" s="4" t="s">
        <v>268</v>
      </c>
      <c r="C88" t="s">
        <v>12</v>
      </c>
      <c r="D88" t="str">
        <f t="shared" si="4"/>
        <v>False</v>
      </c>
      <c r="E88" t="str">
        <f t="shared" si="5"/>
        <v>True</v>
      </c>
      <c r="F88" t="s">
        <v>90</v>
      </c>
      <c r="H88" t="s">
        <v>21</v>
      </c>
      <c r="I88" t="s">
        <v>31</v>
      </c>
      <c r="J88">
        <v>70</v>
      </c>
      <c r="K88" t="s">
        <v>25</v>
      </c>
      <c r="L88">
        <v>18</v>
      </c>
      <c r="M88">
        <v>500</v>
      </c>
      <c r="O88" t="s">
        <v>89</v>
      </c>
    </row>
    <row r="89" spans="1:15" x14ac:dyDescent="0.2">
      <c r="A89" t="s">
        <v>4</v>
      </c>
      <c r="B89" s="4" t="s">
        <v>269</v>
      </c>
      <c r="C89" t="s">
        <v>12</v>
      </c>
      <c r="D89" t="str">
        <f t="shared" si="4"/>
        <v>False</v>
      </c>
      <c r="E89" t="str">
        <f t="shared" si="5"/>
        <v>True</v>
      </c>
      <c r="F89" t="s">
        <v>91</v>
      </c>
      <c r="H89" t="s">
        <v>21</v>
      </c>
      <c r="I89" t="s">
        <v>31</v>
      </c>
      <c r="J89">
        <v>70</v>
      </c>
      <c r="K89" t="s">
        <v>25</v>
      </c>
      <c r="L89">
        <v>18</v>
      </c>
      <c r="M89">
        <v>500</v>
      </c>
      <c r="O89" t="s">
        <v>89</v>
      </c>
    </row>
    <row r="90" spans="1:15" x14ac:dyDescent="0.2">
      <c r="A90" t="s">
        <v>4</v>
      </c>
      <c r="B90" s="4" t="s">
        <v>270</v>
      </c>
      <c r="C90" t="s">
        <v>12</v>
      </c>
      <c r="D90" t="str">
        <f t="shared" si="4"/>
        <v>False</v>
      </c>
      <c r="E90" t="str">
        <f t="shared" si="5"/>
        <v>True</v>
      </c>
      <c r="F90" t="s">
        <v>92</v>
      </c>
      <c r="H90" t="s">
        <v>21</v>
      </c>
      <c r="I90" t="s">
        <v>31</v>
      </c>
      <c r="J90">
        <v>70</v>
      </c>
      <c r="K90" t="s">
        <v>25</v>
      </c>
      <c r="L90">
        <v>18</v>
      </c>
      <c r="M90">
        <v>500</v>
      </c>
      <c r="O90" t="s">
        <v>93</v>
      </c>
    </row>
    <row r="91" spans="1:15" x14ac:dyDescent="0.2">
      <c r="A91" t="s">
        <v>4</v>
      </c>
      <c r="B91" s="4" t="s">
        <v>271</v>
      </c>
      <c r="C91" t="s">
        <v>117</v>
      </c>
      <c r="D91" t="str">
        <f t="shared" si="4"/>
        <v>False</v>
      </c>
      <c r="E91" t="str">
        <f t="shared" si="5"/>
        <v>True</v>
      </c>
      <c r="F91" t="s">
        <v>146</v>
      </c>
      <c r="H91" t="s">
        <v>21</v>
      </c>
      <c r="I91" t="s">
        <v>31</v>
      </c>
      <c r="J91">
        <v>70</v>
      </c>
      <c r="K91" t="s">
        <v>25</v>
      </c>
      <c r="L91">
        <v>18</v>
      </c>
      <c r="M91">
        <v>400</v>
      </c>
      <c r="O91" t="s">
        <v>149</v>
      </c>
    </row>
    <row r="92" spans="1:15" x14ac:dyDescent="0.2">
      <c r="A92" t="s">
        <v>4</v>
      </c>
      <c r="B92" s="4" t="s">
        <v>272</v>
      </c>
      <c r="C92" t="s">
        <v>117</v>
      </c>
      <c r="D92" t="str">
        <f t="shared" si="4"/>
        <v>False</v>
      </c>
      <c r="E92" t="str">
        <f t="shared" si="5"/>
        <v>True</v>
      </c>
      <c r="F92" t="s">
        <v>147</v>
      </c>
      <c r="H92" t="s">
        <v>21</v>
      </c>
      <c r="I92" t="s">
        <v>31</v>
      </c>
      <c r="J92">
        <v>70</v>
      </c>
      <c r="K92" t="s">
        <v>25</v>
      </c>
      <c r="L92">
        <v>18</v>
      </c>
      <c r="M92">
        <v>400</v>
      </c>
      <c r="O92" t="s">
        <v>150</v>
      </c>
    </row>
    <row r="93" spans="1:15" x14ac:dyDescent="0.2">
      <c r="A93" t="s">
        <v>4</v>
      </c>
      <c r="B93" s="4" t="s">
        <v>273</v>
      </c>
      <c r="C93" t="s">
        <v>117</v>
      </c>
      <c r="D93" t="str">
        <f t="shared" si="4"/>
        <v>False</v>
      </c>
      <c r="E93" t="str">
        <f t="shared" si="5"/>
        <v>True</v>
      </c>
      <c r="F93" t="s">
        <v>148</v>
      </c>
      <c r="H93" t="s">
        <v>21</v>
      </c>
      <c r="I93" t="s">
        <v>31</v>
      </c>
      <c r="J93">
        <v>70</v>
      </c>
      <c r="K93" t="s">
        <v>25</v>
      </c>
      <c r="L93">
        <v>18</v>
      </c>
      <c r="M93">
        <v>400</v>
      </c>
      <c r="O93" t="s">
        <v>151</v>
      </c>
    </row>
    <row r="94" spans="1:15" s="5" customFormat="1" x14ac:dyDescent="0.2">
      <c r="A94" s="5" t="s">
        <v>5</v>
      </c>
      <c r="B94" s="6" t="s">
        <v>258</v>
      </c>
      <c r="C94" s="5" t="s">
        <v>12</v>
      </c>
      <c r="D94" s="5" t="str">
        <f t="shared" si="4"/>
        <v>False</v>
      </c>
      <c r="E94" s="5" t="str">
        <f t="shared" si="5"/>
        <v>True</v>
      </c>
      <c r="F94" s="5" t="s">
        <v>95</v>
      </c>
      <c r="H94" s="5" t="s">
        <v>23</v>
      </c>
      <c r="I94" s="5" t="s">
        <v>31</v>
      </c>
      <c r="J94" s="5">
        <v>70</v>
      </c>
      <c r="K94" s="5" t="s">
        <v>25</v>
      </c>
      <c r="L94" s="5">
        <v>19</v>
      </c>
      <c r="M94" s="5">
        <v>500</v>
      </c>
      <c r="O94" s="5" t="s">
        <v>94</v>
      </c>
    </row>
    <row r="95" spans="1:15" s="5" customFormat="1" x14ac:dyDescent="0.2">
      <c r="A95" s="5" t="s">
        <v>5</v>
      </c>
      <c r="B95" s="6" t="s">
        <v>259</v>
      </c>
      <c r="C95" s="5" t="s">
        <v>12</v>
      </c>
      <c r="D95" s="5" t="str">
        <f t="shared" si="4"/>
        <v>False</v>
      </c>
      <c r="E95" s="5" t="str">
        <f t="shared" si="5"/>
        <v>True</v>
      </c>
      <c r="F95" s="5" t="s">
        <v>96</v>
      </c>
      <c r="H95" s="5" t="s">
        <v>23</v>
      </c>
      <c r="I95" s="5" t="s">
        <v>31</v>
      </c>
      <c r="J95" s="5">
        <v>70</v>
      </c>
      <c r="K95" s="5" t="s">
        <v>25</v>
      </c>
      <c r="L95" s="5">
        <v>19</v>
      </c>
      <c r="M95" s="5">
        <v>500</v>
      </c>
      <c r="O95" s="5" t="s">
        <v>97</v>
      </c>
    </row>
    <row r="96" spans="1:15" s="5" customFormat="1" x14ac:dyDescent="0.2">
      <c r="A96" s="5" t="s">
        <v>5</v>
      </c>
      <c r="B96" s="6" t="s">
        <v>260</v>
      </c>
      <c r="C96" s="5" t="s">
        <v>12</v>
      </c>
      <c r="D96" s="5" t="str">
        <f t="shared" si="4"/>
        <v>False</v>
      </c>
      <c r="E96" s="5" t="str">
        <f t="shared" si="5"/>
        <v>True</v>
      </c>
      <c r="F96" s="5" t="s">
        <v>98</v>
      </c>
      <c r="H96" s="5" t="s">
        <v>23</v>
      </c>
      <c r="I96" s="5" t="s">
        <v>31</v>
      </c>
      <c r="J96" s="5">
        <v>70</v>
      </c>
      <c r="K96" s="5" t="s">
        <v>25</v>
      </c>
      <c r="L96" s="5">
        <v>19</v>
      </c>
      <c r="M96" s="5">
        <v>500</v>
      </c>
      <c r="O96" s="5" t="s">
        <v>97</v>
      </c>
    </row>
    <row r="97" spans="1:15" s="5" customFormat="1" x14ac:dyDescent="0.2">
      <c r="A97" s="5" t="s">
        <v>5</v>
      </c>
      <c r="B97" s="6" t="s">
        <v>261</v>
      </c>
      <c r="C97" s="5" t="s">
        <v>12</v>
      </c>
      <c r="D97" s="5" t="str">
        <f t="shared" si="4"/>
        <v>False</v>
      </c>
      <c r="E97" s="5" t="str">
        <f t="shared" si="5"/>
        <v>True</v>
      </c>
      <c r="F97" s="5" t="s">
        <v>99</v>
      </c>
      <c r="H97" s="5" t="s">
        <v>23</v>
      </c>
      <c r="I97" s="5" t="s">
        <v>31</v>
      </c>
      <c r="J97" s="5">
        <v>70</v>
      </c>
      <c r="K97" s="5" t="s">
        <v>25</v>
      </c>
      <c r="L97" s="5">
        <v>19</v>
      </c>
      <c r="M97" s="5">
        <v>500</v>
      </c>
      <c r="O97" s="5" t="s">
        <v>100</v>
      </c>
    </row>
    <row r="98" spans="1:15" s="5" customFormat="1" x14ac:dyDescent="0.2">
      <c r="A98" s="5" t="s">
        <v>5</v>
      </c>
      <c r="B98" s="6" t="s">
        <v>262</v>
      </c>
      <c r="C98" s="5" t="s">
        <v>117</v>
      </c>
      <c r="D98" s="5" t="str">
        <f t="shared" si="4"/>
        <v>False</v>
      </c>
      <c r="E98" s="5" t="str">
        <f t="shared" si="5"/>
        <v>True</v>
      </c>
      <c r="F98" s="5" t="s">
        <v>138</v>
      </c>
      <c r="H98" s="5" t="s">
        <v>23</v>
      </c>
      <c r="I98" s="5" t="s">
        <v>31</v>
      </c>
      <c r="J98" s="5">
        <v>70</v>
      </c>
      <c r="K98" s="5" t="s">
        <v>25</v>
      </c>
      <c r="L98" s="5">
        <v>19</v>
      </c>
      <c r="M98" s="5">
        <v>400</v>
      </c>
      <c r="O98" s="5" t="s">
        <v>142</v>
      </c>
    </row>
    <row r="99" spans="1:15" s="5" customFormat="1" x14ac:dyDescent="0.2">
      <c r="A99" s="5" t="s">
        <v>5</v>
      </c>
      <c r="B99" s="6" t="s">
        <v>263</v>
      </c>
      <c r="C99" s="5" t="s">
        <v>117</v>
      </c>
      <c r="D99" s="5" t="str">
        <f t="shared" si="4"/>
        <v>False</v>
      </c>
      <c r="E99" s="5" t="str">
        <f t="shared" si="5"/>
        <v>True</v>
      </c>
      <c r="F99" s="5" t="s">
        <v>139</v>
      </c>
      <c r="H99" s="5" t="s">
        <v>23</v>
      </c>
      <c r="I99" s="5" t="s">
        <v>31</v>
      </c>
      <c r="J99" s="5">
        <v>70</v>
      </c>
      <c r="K99" s="5" t="s">
        <v>25</v>
      </c>
      <c r="L99" s="5">
        <v>19</v>
      </c>
      <c r="M99" s="5">
        <v>400</v>
      </c>
      <c r="O99" s="5" t="s">
        <v>143</v>
      </c>
    </row>
    <row r="100" spans="1:15" s="5" customFormat="1" x14ac:dyDescent="0.2">
      <c r="A100" s="5" t="s">
        <v>5</v>
      </c>
      <c r="B100" s="6" t="s">
        <v>264</v>
      </c>
      <c r="C100" s="5" t="s">
        <v>117</v>
      </c>
      <c r="D100" s="5" t="str">
        <f t="shared" si="4"/>
        <v>False</v>
      </c>
      <c r="E100" s="5" t="str">
        <f t="shared" si="5"/>
        <v>True</v>
      </c>
      <c r="F100" s="5" t="s">
        <v>140</v>
      </c>
      <c r="H100" s="5" t="s">
        <v>23</v>
      </c>
      <c r="I100" s="5" t="s">
        <v>31</v>
      </c>
      <c r="J100" s="5">
        <v>70</v>
      </c>
      <c r="K100" s="5" t="s">
        <v>25</v>
      </c>
      <c r="L100" s="5">
        <v>19</v>
      </c>
      <c r="M100" s="5">
        <v>400</v>
      </c>
      <c r="O100" s="5" t="s">
        <v>144</v>
      </c>
    </row>
    <row r="101" spans="1:15" s="5" customFormat="1" x14ac:dyDescent="0.2">
      <c r="A101" s="5" t="s">
        <v>5</v>
      </c>
      <c r="B101" s="6" t="s">
        <v>265</v>
      </c>
      <c r="C101" s="5" t="s">
        <v>117</v>
      </c>
      <c r="D101" s="5" t="str">
        <f t="shared" si="4"/>
        <v>False</v>
      </c>
      <c r="E101" s="5" t="str">
        <f t="shared" si="5"/>
        <v>True</v>
      </c>
      <c r="F101" s="5" t="s">
        <v>141</v>
      </c>
      <c r="H101" s="5" t="s">
        <v>23</v>
      </c>
      <c r="I101" s="5" t="s">
        <v>31</v>
      </c>
      <c r="J101" s="5">
        <v>70</v>
      </c>
      <c r="K101" s="5" t="s">
        <v>25</v>
      </c>
      <c r="L101" s="5">
        <v>19</v>
      </c>
      <c r="M101" s="5">
        <v>400</v>
      </c>
      <c r="O101" s="5" t="s">
        <v>145</v>
      </c>
    </row>
    <row r="102" spans="1:15" x14ac:dyDescent="0.2">
      <c r="A102" t="s">
        <v>6</v>
      </c>
      <c r="B102" s="4" t="s">
        <v>238</v>
      </c>
      <c r="C102" t="s">
        <v>12</v>
      </c>
      <c r="D102" t="str">
        <f t="shared" si="4"/>
        <v>False</v>
      </c>
      <c r="E102" t="str">
        <f t="shared" si="5"/>
        <v>True</v>
      </c>
      <c r="F102" t="s">
        <v>102</v>
      </c>
      <c r="H102" t="s">
        <v>22</v>
      </c>
      <c r="I102" t="s">
        <v>31</v>
      </c>
      <c r="J102">
        <v>70</v>
      </c>
      <c r="K102" t="s">
        <v>25</v>
      </c>
      <c r="L102">
        <v>20</v>
      </c>
      <c r="M102">
        <v>600</v>
      </c>
      <c r="O102" t="s">
        <v>101</v>
      </c>
    </row>
    <row r="103" spans="1:15" x14ac:dyDescent="0.2">
      <c r="A103" t="s">
        <v>6</v>
      </c>
      <c r="B103" s="4" t="s">
        <v>239</v>
      </c>
      <c r="C103" t="s">
        <v>12</v>
      </c>
      <c r="D103" t="str">
        <f t="shared" si="4"/>
        <v>False</v>
      </c>
      <c r="E103" t="str">
        <f t="shared" si="5"/>
        <v>True</v>
      </c>
      <c r="F103" t="s">
        <v>103</v>
      </c>
      <c r="H103" t="s">
        <v>22</v>
      </c>
      <c r="I103" t="s">
        <v>31</v>
      </c>
      <c r="J103">
        <v>70</v>
      </c>
      <c r="K103" t="s">
        <v>25</v>
      </c>
      <c r="L103">
        <v>20</v>
      </c>
      <c r="M103">
        <v>600</v>
      </c>
      <c r="O103" t="s">
        <v>101</v>
      </c>
    </row>
    <row r="104" spans="1:15" x14ac:dyDescent="0.2">
      <c r="A104" t="s">
        <v>6</v>
      </c>
      <c r="B104" s="4" t="s">
        <v>240</v>
      </c>
      <c r="C104" t="s">
        <v>12</v>
      </c>
      <c r="D104" t="str">
        <f t="shared" si="4"/>
        <v>False</v>
      </c>
      <c r="E104" t="str">
        <f t="shared" si="5"/>
        <v>True</v>
      </c>
      <c r="F104" t="s">
        <v>105</v>
      </c>
      <c r="H104" t="s">
        <v>22</v>
      </c>
      <c r="I104" t="s">
        <v>31</v>
      </c>
      <c r="J104">
        <v>70</v>
      </c>
      <c r="K104" t="s">
        <v>25</v>
      </c>
      <c r="L104">
        <v>20</v>
      </c>
      <c r="M104">
        <v>600</v>
      </c>
      <c r="O104" t="s">
        <v>104</v>
      </c>
    </row>
    <row r="105" spans="1:15" x14ac:dyDescent="0.2">
      <c r="A105" t="s">
        <v>6</v>
      </c>
      <c r="B105" s="4" t="s">
        <v>241</v>
      </c>
      <c r="C105" t="s">
        <v>12</v>
      </c>
      <c r="D105" t="str">
        <f t="shared" si="4"/>
        <v>False</v>
      </c>
      <c r="E105" t="str">
        <f t="shared" si="5"/>
        <v>True</v>
      </c>
      <c r="F105" t="s">
        <v>106</v>
      </c>
      <c r="H105" t="s">
        <v>22</v>
      </c>
      <c r="I105" t="s">
        <v>31</v>
      </c>
      <c r="J105">
        <v>70</v>
      </c>
      <c r="K105" t="s">
        <v>25</v>
      </c>
      <c r="L105">
        <v>20</v>
      </c>
      <c r="M105">
        <v>600</v>
      </c>
      <c r="O105" t="s">
        <v>104</v>
      </c>
    </row>
    <row r="106" spans="1:15" x14ac:dyDescent="0.2">
      <c r="A106" t="s">
        <v>6</v>
      </c>
      <c r="B106" s="4" t="s">
        <v>242</v>
      </c>
      <c r="C106" t="s">
        <v>12</v>
      </c>
      <c r="D106" t="str">
        <f t="shared" si="4"/>
        <v>False</v>
      </c>
      <c r="E106" t="str">
        <f t="shared" si="5"/>
        <v>True</v>
      </c>
      <c r="F106" t="s">
        <v>107</v>
      </c>
      <c r="H106" t="s">
        <v>22</v>
      </c>
      <c r="I106" t="s">
        <v>31</v>
      </c>
      <c r="J106">
        <v>70</v>
      </c>
      <c r="K106" t="s">
        <v>25</v>
      </c>
      <c r="L106">
        <v>20</v>
      </c>
      <c r="M106">
        <v>600</v>
      </c>
      <c r="O106" t="s">
        <v>104</v>
      </c>
    </row>
    <row r="107" spans="1:15" x14ac:dyDescent="0.2">
      <c r="A107" t="s">
        <v>6</v>
      </c>
      <c r="B107" s="4" t="s">
        <v>243</v>
      </c>
      <c r="C107" t="s">
        <v>12</v>
      </c>
      <c r="D107" t="str">
        <f t="shared" si="4"/>
        <v>False</v>
      </c>
      <c r="E107" t="str">
        <f t="shared" si="5"/>
        <v>True</v>
      </c>
      <c r="F107" t="s">
        <v>109</v>
      </c>
      <c r="H107" t="s">
        <v>22</v>
      </c>
      <c r="I107" t="s">
        <v>31</v>
      </c>
      <c r="J107">
        <v>70</v>
      </c>
      <c r="K107" t="s">
        <v>25</v>
      </c>
      <c r="L107">
        <v>20</v>
      </c>
      <c r="M107">
        <v>600</v>
      </c>
      <c r="O107" t="s">
        <v>108</v>
      </c>
    </row>
    <row r="108" spans="1:15" x14ac:dyDescent="0.2">
      <c r="A108" t="s">
        <v>6</v>
      </c>
      <c r="B108" s="4" t="s">
        <v>244</v>
      </c>
      <c r="C108" t="s">
        <v>12</v>
      </c>
      <c r="D108" t="str">
        <f t="shared" si="4"/>
        <v>False</v>
      </c>
      <c r="E108" t="str">
        <f t="shared" si="5"/>
        <v>True</v>
      </c>
      <c r="F108" t="s">
        <v>110</v>
      </c>
      <c r="H108" t="s">
        <v>22</v>
      </c>
      <c r="I108" t="s">
        <v>31</v>
      </c>
      <c r="J108">
        <v>70</v>
      </c>
      <c r="K108" t="s">
        <v>25</v>
      </c>
      <c r="L108">
        <v>179</v>
      </c>
      <c r="M108">
        <v>600</v>
      </c>
      <c r="O108" t="s">
        <v>113</v>
      </c>
    </row>
    <row r="109" spans="1:15" x14ac:dyDescent="0.2">
      <c r="A109" t="s">
        <v>6</v>
      </c>
      <c r="B109" s="4" t="s">
        <v>245</v>
      </c>
      <c r="C109" t="s">
        <v>12</v>
      </c>
      <c r="D109" t="str">
        <f t="shared" si="4"/>
        <v>False</v>
      </c>
      <c r="E109" t="str">
        <f t="shared" si="5"/>
        <v>True</v>
      </c>
      <c r="F109" t="s">
        <v>111</v>
      </c>
      <c r="H109" t="s">
        <v>22</v>
      </c>
      <c r="I109" t="s">
        <v>31</v>
      </c>
      <c r="J109">
        <v>70</v>
      </c>
      <c r="K109" t="s">
        <v>25</v>
      </c>
      <c r="L109">
        <v>179</v>
      </c>
      <c r="M109">
        <v>600</v>
      </c>
      <c r="O109" t="s">
        <v>113</v>
      </c>
    </row>
    <row r="110" spans="1:15" x14ac:dyDescent="0.2">
      <c r="A110" t="s">
        <v>6</v>
      </c>
      <c r="B110" s="4" t="s">
        <v>246</v>
      </c>
      <c r="C110" t="s">
        <v>12</v>
      </c>
      <c r="D110" t="str">
        <f t="shared" si="4"/>
        <v>False</v>
      </c>
      <c r="E110" t="str">
        <f t="shared" si="5"/>
        <v>True</v>
      </c>
      <c r="F110" t="s">
        <v>112</v>
      </c>
      <c r="H110" t="s">
        <v>22</v>
      </c>
      <c r="I110" t="s">
        <v>31</v>
      </c>
      <c r="J110">
        <v>70</v>
      </c>
      <c r="K110" t="s">
        <v>25</v>
      </c>
      <c r="L110">
        <v>179</v>
      </c>
      <c r="M110">
        <v>600</v>
      </c>
      <c r="O110" t="s">
        <v>114</v>
      </c>
    </row>
    <row r="111" spans="1:15" x14ac:dyDescent="0.2">
      <c r="A111" t="s">
        <v>6</v>
      </c>
      <c r="B111" s="4" t="s">
        <v>247</v>
      </c>
      <c r="C111" t="s">
        <v>12</v>
      </c>
      <c r="D111" t="str">
        <f t="shared" si="4"/>
        <v>False</v>
      </c>
      <c r="E111" t="str">
        <f t="shared" si="5"/>
        <v>True</v>
      </c>
      <c r="F111" t="s">
        <v>115</v>
      </c>
      <c r="H111" t="s">
        <v>22</v>
      </c>
      <c r="I111" t="s">
        <v>31</v>
      </c>
      <c r="J111">
        <v>70</v>
      </c>
      <c r="K111" t="s">
        <v>25</v>
      </c>
      <c r="L111">
        <v>179</v>
      </c>
      <c r="M111">
        <v>600</v>
      </c>
      <c r="O111" t="s">
        <v>116</v>
      </c>
    </row>
    <row r="112" spans="1:15" x14ac:dyDescent="0.2">
      <c r="A112" t="s">
        <v>6</v>
      </c>
      <c r="B112" s="4" t="s">
        <v>248</v>
      </c>
      <c r="C112" t="s">
        <v>117</v>
      </c>
      <c r="D112" t="str">
        <f t="shared" si="4"/>
        <v>False</v>
      </c>
      <c r="E112" t="str">
        <f t="shared" si="5"/>
        <v>True</v>
      </c>
      <c r="F112" t="s">
        <v>128</v>
      </c>
      <c r="H112" t="s">
        <v>22</v>
      </c>
      <c r="I112" t="s">
        <v>31</v>
      </c>
      <c r="J112">
        <v>70</v>
      </c>
      <c r="K112" t="s">
        <v>25</v>
      </c>
      <c r="L112">
        <v>20</v>
      </c>
      <c r="M112">
        <v>400</v>
      </c>
      <c r="O112" t="s">
        <v>118</v>
      </c>
    </row>
    <row r="113" spans="1:15" x14ac:dyDescent="0.2">
      <c r="A113" t="s">
        <v>6</v>
      </c>
      <c r="B113" s="4" t="s">
        <v>249</v>
      </c>
      <c r="C113" t="s">
        <v>117</v>
      </c>
      <c r="D113" t="str">
        <f t="shared" si="4"/>
        <v>False</v>
      </c>
      <c r="E113" t="str">
        <f t="shared" si="5"/>
        <v>True</v>
      </c>
      <c r="F113" t="s">
        <v>129</v>
      </c>
      <c r="H113" t="s">
        <v>22</v>
      </c>
      <c r="I113" t="s">
        <v>31</v>
      </c>
      <c r="J113">
        <v>70</v>
      </c>
      <c r="K113" t="s">
        <v>25</v>
      </c>
      <c r="L113">
        <v>20</v>
      </c>
      <c r="M113">
        <v>400</v>
      </c>
      <c r="O113" t="s">
        <v>119</v>
      </c>
    </row>
    <row r="114" spans="1:15" x14ac:dyDescent="0.2">
      <c r="A114" t="s">
        <v>6</v>
      </c>
      <c r="B114" s="4" t="s">
        <v>250</v>
      </c>
      <c r="C114" t="s">
        <v>117</v>
      </c>
      <c r="D114" t="str">
        <f t="shared" si="4"/>
        <v>False</v>
      </c>
      <c r="E114" t="str">
        <f t="shared" si="5"/>
        <v>True</v>
      </c>
      <c r="F114" t="s">
        <v>130</v>
      </c>
      <c r="H114" t="s">
        <v>22</v>
      </c>
      <c r="I114" t="s">
        <v>31</v>
      </c>
      <c r="J114">
        <v>70</v>
      </c>
      <c r="K114" t="s">
        <v>25</v>
      </c>
      <c r="L114">
        <v>20</v>
      </c>
      <c r="M114">
        <v>400</v>
      </c>
      <c r="O114" t="s">
        <v>120</v>
      </c>
    </row>
    <row r="115" spans="1:15" x14ac:dyDescent="0.2">
      <c r="A115" t="s">
        <v>6</v>
      </c>
      <c r="B115" s="4" t="s">
        <v>251</v>
      </c>
      <c r="C115" t="s">
        <v>117</v>
      </c>
      <c r="D115" t="str">
        <f t="shared" si="4"/>
        <v>False</v>
      </c>
      <c r="E115" t="str">
        <f t="shared" si="5"/>
        <v>True</v>
      </c>
      <c r="F115" t="s">
        <v>131</v>
      </c>
      <c r="H115" t="s">
        <v>22</v>
      </c>
      <c r="I115" t="s">
        <v>31</v>
      </c>
      <c r="J115">
        <v>70</v>
      </c>
      <c r="K115" t="s">
        <v>25</v>
      </c>
      <c r="L115">
        <v>20</v>
      </c>
      <c r="M115">
        <v>400</v>
      </c>
      <c r="O115" t="s">
        <v>121</v>
      </c>
    </row>
    <row r="116" spans="1:15" x14ac:dyDescent="0.2">
      <c r="A116" t="s">
        <v>6</v>
      </c>
      <c r="B116" s="4" t="s">
        <v>252</v>
      </c>
      <c r="C116" t="s">
        <v>117</v>
      </c>
      <c r="D116" t="str">
        <f t="shared" si="4"/>
        <v>False</v>
      </c>
      <c r="E116" t="str">
        <f t="shared" si="5"/>
        <v>True</v>
      </c>
      <c r="F116" t="s">
        <v>132</v>
      </c>
      <c r="H116" t="s">
        <v>22</v>
      </c>
      <c r="I116" t="s">
        <v>31</v>
      </c>
      <c r="J116">
        <v>70</v>
      </c>
      <c r="K116" t="s">
        <v>25</v>
      </c>
      <c r="L116">
        <v>20</v>
      </c>
      <c r="M116">
        <v>400</v>
      </c>
      <c r="O116" t="s">
        <v>122</v>
      </c>
    </row>
    <row r="117" spans="1:15" x14ac:dyDescent="0.2">
      <c r="A117" t="s">
        <v>6</v>
      </c>
      <c r="B117" s="4" t="s">
        <v>253</v>
      </c>
      <c r="C117" t="s">
        <v>117</v>
      </c>
      <c r="D117" t="str">
        <f t="shared" si="4"/>
        <v>False</v>
      </c>
      <c r="E117" t="str">
        <f t="shared" si="5"/>
        <v>True</v>
      </c>
      <c r="F117" t="s">
        <v>133</v>
      </c>
      <c r="H117" t="s">
        <v>22</v>
      </c>
      <c r="I117" t="s">
        <v>31</v>
      </c>
      <c r="J117">
        <v>70</v>
      </c>
      <c r="K117" t="s">
        <v>25</v>
      </c>
      <c r="L117">
        <v>20</v>
      </c>
      <c r="M117">
        <v>400</v>
      </c>
      <c r="O117" t="s">
        <v>123</v>
      </c>
    </row>
    <row r="118" spans="1:15" x14ac:dyDescent="0.2">
      <c r="A118" t="s">
        <v>6</v>
      </c>
      <c r="B118" s="4" t="s">
        <v>254</v>
      </c>
      <c r="C118" t="s">
        <v>117</v>
      </c>
      <c r="D118" t="str">
        <f t="shared" si="4"/>
        <v>False</v>
      </c>
      <c r="E118" t="str">
        <f t="shared" si="5"/>
        <v>True</v>
      </c>
      <c r="F118" t="s">
        <v>134</v>
      </c>
      <c r="H118" t="s">
        <v>22</v>
      </c>
      <c r="I118" t="s">
        <v>31</v>
      </c>
      <c r="J118">
        <v>70</v>
      </c>
      <c r="K118" t="s">
        <v>25</v>
      </c>
      <c r="L118">
        <v>179</v>
      </c>
      <c r="M118">
        <v>400</v>
      </c>
      <c r="O118" t="s">
        <v>124</v>
      </c>
    </row>
    <row r="119" spans="1:15" x14ac:dyDescent="0.2">
      <c r="A119" t="s">
        <v>6</v>
      </c>
      <c r="B119" s="4" t="s">
        <v>255</v>
      </c>
      <c r="C119" t="s">
        <v>117</v>
      </c>
      <c r="D119" t="str">
        <f t="shared" si="4"/>
        <v>False</v>
      </c>
      <c r="E119" t="str">
        <f t="shared" si="5"/>
        <v>True</v>
      </c>
      <c r="F119" t="s">
        <v>135</v>
      </c>
      <c r="H119" t="s">
        <v>22</v>
      </c>
      <c r="I119" t="s">
        <v>31</v>
      </c>
      <c r="J119">
        <v>70</v>
      </c>
      <c r="K119" t="s">
        <v>25</v>
      </c>
      <c r="L119">
        <v>179</v>
      </c>
      <c r="M119">
        <v>400</v>
      </c>
      <c r="O119" t="s">
        <v>125</v>
      </c>
    </row>
    <row r="120" spans="1:15" x14ac:dyDescent="0.2">
      <c r="A120" t="s">
        <v>6</v>
      </c>
      <c r="B120" s="4" t="s">
        <v>256</v>
      </c>
      <c r="C120" t="s">
        <v>117</v>
      </c>
      <c r="D120" t="str">
        <f t="shared" si="4"/>
        <v>False</v>
      </c>
      <c r="E120" t="str">
        <f t="shared" si="5"/>
        <v>True</v>
      </c>
      <c r="F120" t="s">
        <v>136</v>
      </c>
      <c r="H120" t="s">
        <v>22</v>
      </c>
      <c r="I120" t="s">
        <v>31</v>
      </c>
      <c r="J120">
        <v>70</v>
      </c>
      <c r="K120" t="s">
        <v>25</v>
      </c>
      <c r="L120">
        <v>179</v>
      </c>
      <c r="M120">
        <v>400</v>
      </c>
      <c r="O120" t="s">
        <v>126</v>
      </c>
    </row>
    <row r="121" spans="1:15" x14ac:dyDescent="0.2">
      <c r="A121" t="s">
        <v>6</v>
      </c>
      <c r="B121" s="4" t="s">
        <v>257</v>
      </c>
      <c r="C121" t="s">
        <v>117</v>
      </c>
      <c r="D121" t="str">
        <f t="shared" si="4"/>
        <v>False</v>
      </c>
      <c r="E121" t="str">
        <f t="shared" si="5"/>
        <v>True</v>
      </c>
      <c r="F121" t="s">
        <v>137</v>
      </c>
      <c r="H121" t="s">
        <v>22</v>
      </c>
      <c r="I121" t="s">
        <v>31</v>
      </c>
      <c r="J121">
        <v>70</v>
      </c>
      <c r="K121" t="s">
        <v>25</v>
      </c>
      <c r="L121">
        <v>179</v>
      </c>
      <c r="M121">
        <v>400</v>
      </c>
      <c r="O121" t="s">
        <v>127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76FC-4BBC-8E45-9D22-B5A43F92F2D0}">
  <dimension ref="A1:D29"/>
  <sheetViews>
    <sheetView workbookViewId="0">
      <selection activeCell="D29" sqref="D26:D29"/>
    </sheetView>
  </sheetViews>
  <sheetFormatPr baseColWidth="10" defaultRowHeight="16" x14ac:dyDescent="0.2"/>
  <sheetData>
    <row r="1" spans="1:4" x14ac:dyDescent="0.2">
      <c r="A1" t="s">
        <v>266</v>
      </c>
      <c r="B1" t="s">
        <v>267</v>
      </c>
    </row>
    <row r="2" spans="1:4" x14ac:dyDescent="0.2">
      <c r="A2">
        <v>0</v>
      </c>
      <c r="B2">
        <v>0</v>
      </c>
      <c r="C2">
        <v>3</v>
      </c>
      <c r="D2">
        <f>B2-B$5</f>
        <v>5.61</v>
      </c>
    </row>
    <row r="3" spans="1:4" x14ac:dyDescent="0.2">
      <c r="A3">
        <v>1</v>
      </c>
      <c r="B3">
        <v>-0.54049999999999998</v>
      </c>
      <c r="C3">
        <v>2</v>
      </c>
      <c r="D3">
        <f t="shared" ref="D3:D5" si="0">B3-B$5</f>
        <v>5.0695000000000006</v>
      </c>
    </row>
    <row r="4" spans="1:4" x14ac:dyDescent="0.2">
      <c r="A4">
        <v>2</v>
      </c>
      <c r="B4">
        <v>-2.4249999999999998</v>
      </c>
      <c r="C4">
        <v>1</v>
      </c>
      <c r="D4">
        <f t="shared" si="0"/>
        <v>3.1850000000000005</v>
      </c>
    </row>
    <row r="5" spans="1:4" x14ac:dyDescent="0.2">
      <c r="A5">
        <v>3</v>
      </c>
      <c r="B5">
        <v>-5.61</v>
      </c>
      <c r="C5">
        <v>0</v>
      </c>
      <c r="D5">
        <f t="shared" si="0"/>
        <v>0</v>
      </c>
    </row>
    <row r="7" spans="1:4" x14ac:dyDescent="0.2">
      <c r="A7" t="s">
        <v>266</v>
      </c>
      <c r="B7" t="s">
        <v>274</v>
      </c>
    </row>
    <row r="8" spans="1:4" x14ac:dyDescent="0.2">
      <c r="A8">
        <v>0</v>
      </c>
      <c r="B8">
        <v>0</v>
      </c>
      <c r="C8">
        <v>3</v>
      </c>
      <c r="D8">
        <f>B8-B$11</f>
        <v>5.4539999999999997</v>
      </c>
    </row>
    <row r="9" spans="1:4" x14ac:dyDescent="0.2">
      <c r="A9">
        <v>1</v>
      </c>
      <c r="B9">
        <v>-1.143</v>
      </c>
      <c r="C9">
        <v>2</v>
      </c>
      <c r="D9">
        <f t="shared" ref="D9:D11" si="1">B9-B$11</f>
        <v>4.3109999999999999</v>
      </c>
    </row>
    <row r="10" spans="1:4" x14ac:dyDescent="0.2">
      <c r="A10">
        <v>2</v>
      </c>
      <c r="B10">
        <v>-3.0249999999999999</v>
      </c>
      <c r="C10">
        <v>1</v>
      </c>
      <c r="D10">
        <f t="shared" si="1"/>
        <v>2.4289999999999998</v>
      </c>
    </row>
    <row r="11" spans="1:4" x14ac:dyDescent="0.2">
      <c r="A11">
        <v>3</v>
      </c>
      <c r="B11">
        <v>-5.4539999999999997</v>
      </c>
      <c r="C11">
        <v>0</v>
      </c>
      <c r="D11">
        <f t="shared" si="1"/>
        <v>0</v>
      </c>
    </row>
    <row r="13" spans="1:4" x14ac:dyDescent="0.2">
      <c r="A13" t="s">
        <v>266</v>
      </c>
      <c r="B13" t="s">
        <v>285</v>
      </c>
    </row>
    <row r="14" spans="1:4" x14ac:dyDescent="0.2">
      <c r="A14">
        <v>0</v>
      </c>
      <c r="B14">
        <v>0</v>
      </c>
      <c r="C14">
        <v>3</v>
      </c>
      <c r="D14">
        <f>B14-B$17</f>
        <v>5.4729999999999999</v>
      </c>
    </row>
    <row r="15" spans="1:4" x14ac:dyDescent="0.2">
      <c r="A15">
        <v>1</v>
      </c>
      <c r="B15">
        <v>-0.77270000000000005</v>
      </c>
      <c r="C15">
        <v>2</v>
      </c>
      <c r="D15">
        <f t="shared" ref="D15:D17" si="2">B15-B$17</f>
        <v>4.7002999999999995</v>
      </c>
    </row>
    <row r="16" spans="1:4" x14ac:dyDescent="0.2">
      <c r="A16">
        <v>2</v>
      </c>
      <c r="B16">
        <v>-2.5110000000000001</v>
      </c>
      <c r="C16">
        <v>1</v>
      </c>
      <c r="D16">
        <f t="shared" si="2"/>
        <v>2.9619999999999997</v>
      </c>
    </row>
    <row r="17" spans="1:4" x14ac:dyDescent="0.2">
      <c r="A17">
        <v>3</v>
      </c>
      <c r="B17">
        <v>-5.4729999999999999</v>
      </c>
      <c r="C17">
        <v>0</v>
      </c>
      <c r="D17">
        <f t="shared" si="2"/>
        <v>0</v>
      </c>
    </row>
    <row r="19" spans="1:4" x14ac:dyDescent="0.2">
      <c r="A19" t="s">
        <v>266</v>
      </c>
      <c r="B19" t="s">
        <v>316</v>
      </c>
    </row>
    <row r="20" spans="1:4" x14ac:dyDescent="0.2">
      <c r="A20">
        <v>0</v>
      </c>
      <c r="B20">
        <v>0</v>
      </c>
      <c r="C20">
        <v>3</v>
      </c>
      <c r="D20">
        <f>B20-B$23</f>
        <v>5.5010000000000003</v>
      </c>
    </row>
    <row r="21" spans="1:4" x14ac:dyDescent="0.2">
      <c r="A21">
        <v>1</v>
      </c>
      <c r="B21">
        <v>-0.76780000000000004</v>
      </c>
      <c r="C21">
        <v>2</v>
      </c>
      <c r="D21">
        <f t="shared" ref="D21:D23" si="3">B21-B$23</f>
        <v>4.7332000000000001</v>
      </c>
    </row>
    <row r="22" spans="1:4" x14ac:dyDescent="0.2">
      <c r="A22">
        <v>2</v>
      </c>
      <c r="B22">
        <v>-2.367</v>
      </c>
      <c r="C22">
        <v>1</v>
      </c>
      <c r="D22">
        <f t="shared" si="3"/>
        <v>3.1340000000000003</v>
      </c>
    </row>
    <row r="23" spans="1:4" x14ac:dyDescent="0.2">
      <c r="A23">
        <v>3</v>
      </c>
      <c r="B23">
        <v>-5.5010000000000003</v>
      </c>
      <c r="C23">
        <v>0</v>
      </c>
      <c r="D23">
        <f t="shared" si="3"/>
        <v>0</v>
      </c>
    </row>
    <row r="25" spans="1:4" x14ac:dyDescent="0.2">
      <c r="A25" t="s">
        <v>266</v>
      </c>
      <c r="B25" t="s">
        <v>335</v>
      </c>
    </row>
    <row r="26" spans="1:4" x14ac:dyDescent="0.2">
      <c r="A26">
        <v>0</v>
      </c>
      <c r="B26">
        <v>0</v>
      </c>
      <c r="C26">
        <v>3</v>
      </c>
      <c r="D26">
        <f>B26-B$29</f>
        <v>5.61</v>
      </c>
    </row>
    <row r="27" spans="1:4" x14ac:dyDescent="0.2">
      <c r="A27">
        <v>1</v>
      </c>
      <c r="B27">
        <v>-0.54049999999999998</v>
      </c>
      <c r="C27">
        <v>2</v>
      </c>
      <c r="D27">
        <f t="shared" ref="D27:D29" si="4">B27-B$29</f>
        <v>5.0695000000000006</v>
      </c>
    </row>
    <row r="28" spans="1:4" x14ac:dyDescent="0.2">
      <c r="A28">
        <v>2</v>
      </c>
      <c r="B28">
        <v>-2.0720000000000001</v>
      </c>
      <c r="C28">
        <v>1</v>
      </c>
      <c r="D28">
        <f t="shared" si="4"/>
        <v>3.5380000000000003</v>
      </c>
    </row>
    <row r="29" spans="1:4" x14ac:dyDescent="0.2">
      <c r="A29">
        <v>3</v>
      </c>
      <c r="B29">
        <v>-5.61</v>
      </c>
      <c r="C29">
        <v>0</v>
      </c>
      <c r="D29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PA_F427Y_70_mv_guesthost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2025-06-25T20:11:04Z</dcterms:created>
  <dcterms:modified xsi:type="dcterms:W3CDTF">2025-08-08T12:57:06Z</dcterms:modified>
</cp:coreProperties>
</file>