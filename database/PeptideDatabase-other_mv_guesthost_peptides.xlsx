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bakrantz/Documents/python/database/"/>
    </mc:Choice>
  </mc:AlternateContent>
  <xr:revisionPtr revIDLastSave="0" documentId="8_{38173FD7-E501-2442-B219-90431D632533}" xr6:coauthVersionLast="47" xr6:coauthVersionMax="47" xr10:uidLastSave="{00000000-0000-0000-0000-000000000000}"/>
  <bookViews>
    <workbookView xWindow="7420" yWindow="1280" windowWidth="19860" windowHeight="17020" xr2:uid="{771C88DF-88B2-E348-BE11-2567F4397102}"/>
  </bookViews>
  <sheets>
    <sheet name="PeptideDatabase-other_mv_guesth" sheetId="1" r:id="rId1"/>
    <sheet name="open_pore_currents" sheetId="3" r:id="rId2"/>
    <sheet name="Sheet1" sheetId="2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S161" i="1" l="1"/>
  <c r="S162" i="1"/>
  <c r="S163" i="1"/>
  <c r="S164" i="1"/>
  <c r="S165" i="1"/>
  <c r="S166" i="1"/>
  <c r="S167" i="1"/>
  <c r="S168" i="1"/>
  <c r="S169" i="1"/>
  <c r="S170" i="1"/>
  <c r="S171" i="1"/>
  <c r="S172" i="1"/>
  <c r="S173" i="1"/>
  <c r="S160" i="1"/>
  <c r="S116" i="1"/>
  <c r="S117" i="1"/>
  <c r="S118" i="1"/>
  <c r="S119" i="1"/>
  <c r="S120" i="1"/>
  <c r="S121" i="1"/>
  <c r="S122" i="1"/>
  <c r="S123" i="1"/>
  <c r="S124" i="1"/>
  <c r="S125" i="1"/>
  <c r="S126" i="1"/>
  <c r="S127" i="1"/>
  <c r="S128" i="1"/>
  <c r="S129" i="1"/>
  <c r="S130" i="1"/>
  <c r="S131" i="1"/>
  <c r="S132" i="1"/>
  <c r="S133" i="1"/>
  <c r="S134" i="1"/>
  <c r="S135" i="1"/>
  <c r="S136" i="1"/>
  <c r="S137" i="1"/>
  <c r="S138" i="1"/>
  <c r="S139" i="1"/>
  <c r="S140" i="1"/>
  <c r="S141" i="1"/>
  <c r="S142" i="1"/>
  <c r="S143" i="1"/>
  <c r="S144" i="1"/>
  <c r="S145" i="1"/>
  <c r="S115" i="1"/>
  <c r="H194" i="2"/>
  <c r="L197" i="2"/>
  <c r="K197" i="2"/>
  <c r="L196" i="2"/>
  <c r="K196" i="2"/>
  <c r="L195" i="2"/>
  <c r="K195" i="2"/>
  <c r="L194" i="2"/>
  <c r="K194" i="2"/>
  <c r="H197" i="2"/>
  <c r="G197" i="2"/>
  <c r="H196" i="2"/>
  <c r="G196" i="2"/>
  <c r="H195" i="2"/>
  <c r="G195" i="2"/>
  <c r="G194" i="2"/>
  <c r="C195" i="2"/>
  <c r="D195" i="2"/>
  <c r="C196" i="2"/>
  <c r="D196" i="2"/>
  <c r="C197" i="2"/>
  <c r="D197" i="2"/>
  <c r="D194" i="2"/>
  <c r="C194" i="2"/>
  <c r="G186" i="2"/>
  <c r="L189" i="2"/>
  <c r="K189" i="2"/>
  <c r="L188" i="2"/>
  <c r="K188" i="2"/>
  <c r="L187" i="2"/>
  <c r="K187" i="2"/>
  <c r="L186" i="2"/>
  <c r="K186" i="2"/>
  <c r="H189" i="2"/>
  <c r="G189" i="2"/>
  <c r="H188" i="2"/>
  <c r="G188" i="2"/>
  <c r="H187" i="2"/>
  <c r="G187" i="2"/>
  <c r="H186" i="2"/>
  <c r="C187" i="2"/>
  <c r="D187" i="2"/>
  <c r="C188" i="2"/>
  <c r="D188" i="2"/>
  <c r="C189" i="2"/>
  <c r="D189" i="2"/>
  <c r="D186" i="2"/>
  <c r="C186" i="2"/>
  <c r="W178" i="2"/>
  <c r="X181" i="2"/>
  <c r="W181" i="2"/>
  <c r="X180" i="2"/>
  <c r="W180" i="2"/>
  <c r="X179" i="2"/>
  <c r="W179" i="2"/>
  <c r="X178" i="2"/>
  <c r="G181" i="2"/>
  <c r="T181" i="2"/>
  <c r="S181" i="2"/>
  <c r="T180" i="2"/>
  <c r="S180" i="2"/>
  <c r="T179" i="2"/>
  <c r="S179" i="2"/>
  <c r="T178" i="2"/>
  <c r="S178" i="2"/>
  <c r="P181" i="2"/>
  <c r="O181" i="2"/>
  <c r="P180" i="2"/>
  <c r="O180" i="2"/>
  <c r="P179" i="2"/>
  <c r="O179" i="2"/>
  <c r="P178" i="2"/>
  <c r="O178" i="2"/>
  <c r="L181" i="2"/>
  <c r="K181" i="2"/>
  <c r="L180" i="2"/>
  <c r="K180" i="2"/>
  <c r="L179" i="2"/>
  <c r="K179" i="2"/>
  <c r="L178" i="2"/>
  <c r="K178" i="2"/>
  <c r="H181" i="2"/>
  <c r="H180" i="2"/>
  <c r="G180" i="2"/>
  <c r="H179" i="2"/>
  <c r="G179" i="2"/>
  <c r="H178" i="2"/>
  <c r="G178" i="2"/>
  <c r="C179" i="2"/>
  <c r="D179" i="2"/>
  <c r="C180" i="2"/>
  <c r="D180" i="2"/>
  <c r="C181" i="2"/>
  <c r="D181" i="2"/>
  <c r="D178" i="2"/>
  <c r="C178" i="2"/>
  <c r="K172" i="2"/>
  <c r="L172" i="2"/>
  <c r="K173" i="2"/>
  <c r="L173" i="2"/>
  <c r="K174" i="2"/>
  <c r="L174" i="2"/>
  <c r="L171" i="2"/>
  <c r="K171" i="2"/>
  <c r="G172" i="2"/>
  <c r="H172" i="2"/>
  <c r="G173" i="2"/>
  <c r="H173" i="2"/>
  <c r="G174" i="2"/>
  <c r="H174" i="2"/>
  <c r="H171" i="2"/>
  <c r="G171" i="2"/>
  <c r="C172" i="2"/>
  <c r="D172" i="2"/>
  <c r="C173" i="2"/>
  <c r="D173" i="2"/>
  <c r="C174" i="2"/>
  <c r="D174" i="2"/>
  <c r="D171" i="2"/>
  <c r="C171" i="2"/>
  <c r="O164" i="2"/>
  <c r="T167" i="2"/>
  <c r="S167" i="2"/>
  <c r="T166" i="2"/>
  <c r="S166" i="2"/>
  <c r="T165" i="2"/>
  <c r="S165" i="2"/>
  <c r="T164" i="2"/>
  <c r="S164" i="2"/>
  <c r="P167" i="2"/>
  <c r="O167" i="2"/>
  <c r="P166" i="2"/>
  <c r="O166" i="2"/>
  <c r="P165" i="2"/>
  <c r="O165" i="2"/>
  <c r="P164" i="2"/>
  <c r="K165" i="2"/>
  <c r="L165" i="2"/>
  <c r="K166" i="2"/>
  <c r="L166" i="2"/>
  <c r="K167" i="2"/>
  <c r="L167" i="2"/>
  <c r="L164" i="2"/>
  <c r="K164" i="2"/>
  <c r="G165" i="2"/>
  <c r="H165" i="2"/>
  <c r="G166" i="2"/>
  <c r="H166" i="2"/>
  <c r="G167" i="2"/>
  <c r="H167" i="2"/>
  <c r="H164" i="2"/>
  <c r="G164" i="2"/>
  <c r="D165" i="2"/>
  <c r="D166" i="2"/>
  <c r="D167" i="2"/>
  <c r="D164" i="2"/>
  <c r="C165" i="2"/>
  <c r="C166" i="2"/>
  <c r="C167" i="2"/>
  <c r="C164" i="2"/>
  <c r="L158" i="2"/>
  <c r="L159" i="2"/>
  <c r="L160" i="2"/>
  <c r="L157" i="2"/>
  <c r="H158" i="2"/>
  <c r="H159" i="2"/>
  <c r="H160" i="2"/>
  <c r="H157" i="2"/>
  <c r="D158" i="2"/>
  <c r="D159" i="2"/>
  <c r="D160" i="2"/>
  <c r="D157" i="2"/>
  <c r="K158" i="2"/>
  <c r="K159" i="2"/>
  <c r="K160" i="2"/>
  <c r="G158" i="2"/>
  <c r="G159" i="2"/>
  <c r="G160" i="2"/>
  <c r="C158" i="2"/>
  <c r="C159" i="2"/>
  <c r="C160" i="2"/>
  <c r="C157" i="2"/>
  <c r="K157" i="2"/>
  <c r="G157" i="2"/>
  <c r="S143" i="2"/>
  <c r="T146" i="2"/>
  <c r="S146" i="2"/>
  <c r="T145" i="2"/>
  <c r="S145" i="2"/>
  <c r="T144" i="2"/>
  <c r="S144" i="2"/>
  <c r="T143" i="2"/>
  <c r="P146" i="2"/>
  <c r="O146" i="2"/>
  <c r="P145" i="2"/>
  <c r="O145" i="2"/>
  <c r="P144" i="2"/>
  <c r="O144" i="2"/>
  <c r="P143" i="2"/>
  <c r="O143" i="2"/>
  <c r="C143" i="2"/>
  <c r="L146" i="2"/>
  <c r="K146" i="2"/>
  <c r="L145" i="2"/>
  <c r="K145" i="2"/>
  <c r="L144" i="2"/>
  <c r="K144" i="2"/>
  <c r="L143" i="2"/>
  <c r="K143" i="2"/>
  <c r="H146" i="2"/>
  <c r="G146" i="2"/>
  <c r="H145" i="2"/>
  <c r="G145" i="2"/>
  <c r="H144" i="2"/>
  <c r="G144" i="2"/>
  <c r="H143" i="2"/>
  <c r="G143" i="2"/>
  <c r="G150" i="2"/>
  <c r="K150" i="2"/>
  <c r="P153" i="2"/>
  <c r="O153" i="2"/>
  <c r="P152" i="2"/>
  <c r="O152" i="2"/>
  <c r="P151" i="2"/>
  <c r="O151" i="2"/>
  <c r="P150" i="2"/>
  <c r="O150" i="2"/>
  <c r="L153" i="2"/>
  <c r="K153" i="2"/>
  <c r="L152" i="2"/>
  <c r="K152" i="2"/>
  <c r="L151" i="2"/>
  <c r="K151" i="2"/>
  <c r="L150" i="2"/>
  <c r="G153" i="2"/>
  <c r="H152" i="2"/>
  <c r="G152" i="2"/>
  <c r="H151" i="2"/>
  <c r="G151" i="2"/>
  <c r="H150" i="2"/>
  <c r="C151" i="2"/>
  <c r="D151" i="2"/>
  <c r="C152" i="2"/>
  <c r="D152" i="2"/>
  <c r="C153" i="2"/>
  <c r="D153" i="2"/>
  <c r="D150" i="2"/>
  <c r="C150" i="2"/>
  <c r="D144" i="2"/>
  <c r="D145" i="2"/>
  <c r="D146" i="2"/>
  <c r="D143" i="2"/>
  <c r="C144" i="2"/>
  <c r="C145" i="2"/>
  <c r="C146" i="2"/>
  <c r="M136" i="2"/>
  <c r="H136" i="2"/>
  <c r="S137" i="2"/>
  <c r="S138" i="2"/>
  <c r="S139" i="2"/>
  <c r="S136" i="2"/>
  <c r="N137" i="2"/>
  <c r="N138" i="2"/>
  <c r="N139" i="2"/>
  <c r="N136" i="2"/>
  <c r="I137" i="2"/>
  <c r="I138" i="2"/>
  <c r="I139" i="2"/>
  <c r="I136" i="2"/>
  <c r="H137" i="2"/>
  <c r="H138" i="2"/>
  <c r="H139" i="2"/>
  <c r="R139" i="2"/>
  <c r="R138" i="2"/>
  <c r="R137" i="2"/>
  <c r="R136" i="2"/>
  <c r="M139" i="2"/>
  <c r="M138" i="2"/>
  <c r="M137" i="2"/>
  <c r="C137" i="2"/>
  <c r="C138" i="2"/>
  <c r="C139" i="2"/>
  <c r="C136" i="2"/>
  <c r="D139" i="2"/>
  <c r="D138" i="2"/>
  <c r="D137" i="2"/>
  <c r="D136" i="2"/>
  <c r="C130" i="2"/>
  <c r="C131" i="2"/>
  <c r="C132" i="2"/>
  <c r="C129" i="2"/>
  <c r="C122" i="2"/>
  <c r="C123" i="2"/>
  <c r="C124" i="2"/>
  <c r="C121" i="2"/>
  <c r="D132" i="2"/>
  <c r="D131" i="2"/>
  <c r="D130" i="2"/>
  <c r="D129" i="2"/>
  <c r="D124" i="2"/>
  <c r="D123" i="2"/>
  <c r="D122" i="2"/>
  <c r="D121" i="2"/>
  <c r="T67" i="2"/>
  <c r="T68" i="2"/>
  <c r="T69" i="2"/>
  <c r="T66" i="2"/>
  <c r="U69" i="2"/>
  <c r="U68" i="2"/>
  <c r="U67" i="2"/>
  <c r="U66" i="2"/>
  <c r="P67" i="2"/>
  <c r="P68" i="2"/>
  <c r="P69" i="2"/>
  <c r="P66" i="2"/>
  <c r="Q69" i="2"/>
  <c r="Q68" i="2"/>
  <c r="Q67" i="2"/>
  <c r="Q66" i="2"/>
  <c r="K67" i="2"/>
  <c r="K68" i="2"/>
  <c r="K69" i="2"/>
  <c r="K66" i="2"/>
  <c r="G66" i="2"/>
  <c r="L69" i="2"/>
  <c r="L68" i="2"/>
  <c r="L67" i="2"/>
  <c r="L66" i="2"/>
  <c r="G67" i="2"/>
  <c r="G68" i="2"/>
  <c r="G69" i="2"/>
  <c r="H69" i="2"/>
  <c r="H68" i="2"/>
  <c r="H67" i="2"/>
  <c r="H66" i="2"/>
  <c r="G60" i="2"/>
  <c r="G61" i="2"/>
  <c r="G62" i="2"/>
  <c r="C60" i="2"/>
  <c r="C61" i="2"/>
  <c r="C62" i="2"/>
  <c r="C59" i="2"/>
  <c r="G59" i="2"/>
  <c r="H62" i="2"/>
  <c r="H61" i="2"/>
  <c r="H60" i="2"/>
  <c r="H59" i="2"/>
  <c r="C115" i="2"/>
  <c r="C99" i="2"/>
  <c r="C100" i="2"/>
  <c r="C101" i="2"/>
  <c r="C107" i="2"/>
  <c r="C108" i="2"/>
  <c r="C109" i="2"/>
  <c r="K107" i="2"/>
  <c r="K108" i="2"/>
  <c r="K109" i="2"/>
  <c r="G107" i="2"/>
  <c r="G108" i="2"/>
  <c r="G109" i="2"/>
  <c r="K115" i="2"/>
  <c r="K116" i="2"/>
  <c r="K117" i="2"/>
  <c r="G115" i="2"/>
  <c r="G116" i="2"/>
  <c r="G117" i="2"/>
  <c r="G114" i="2"/>
  <c r="C116" i="2"/>
  <c r="C117" i="2"/>
  <c r="K114" i="2"/>
  <c r="G82" i="2"/>
  <c r="G90" i="2"/>
  <c r="G98" i="2"/>
  <c r="H114" i="2"/>
  <c r="L114" i="2"/>
  <c r="C114" i="2"/>
  <c r="L117" i="2"/>
  <c r="L116" i="2"/>
  <c r="L115" i="2"/>
  <c r="H117" i="2"/>
  <c r="H116" i="2"/>
  <c r="H115" i="2"/>
  <c r="L109" i="2"/>
  <c r="L108" i="2"/>
  <c r="L107" i="2"/>
  <c r="L106" i="2"/>
  <c r="K106" i="2"/>
  <c r="G106" i="2"/>
  <c r="D115" i="2"/>
  <c r="D116" i="2"/>
  <c r="D117" i="2"/>
  <c r="D114" i="2"/>
  <c r="H107" i="2"/>
  <c r="H108" i="2"/>
  <c r="H109" i="2"/>
  <c r="H106" i="2"/>
  <c r="C106" i="2"/>
  <c r="D109" i="2"/>
  <c r="D108" i="2"/>
  <c r="D107" i="2"/>
  <c r="D106" i="2"/>
  <c r="L85" i="2"/>
  <c r="K85" i="2"/>
  <c r="L84" i="2"/>
  <c r="K84" i="2"/>
  <c r="L83" i="2"/>
  <c r="K83" i="2"/>
  <c r="L82" i="2"/>
  <c r="K82" i="2"/>
  <c r="H85" i="2"/>
  <c r="G85" i="2"/>
  <c r="H84" i="2"/>
  <c r="G84" i="2"/>
  <c r="H83" i="2"/>
  <c r="G83" i="2"/>
  <c r="H82" i="2"/>
  <c r="AB93" i="2"/>
  <c r="AA93" i="2"/>
  <c r="AB92" i="2"/>
  <c r="AA92" i="2"/>
  <c r="AB91" i="2"/>
  <c r="AA91" i="2"/>
  <c r="AB90" i="2"/>
  <c r="AA90" i="2"/>
  <c r="R92" i="2"/>
  <c r="X93" i="2"/>
  <c r="W93" i="2"/>
  <c r="X92" i="2"/>
  <c r="W92" i="2"/>
  <c r="X91" i="2"/>
  <c r="W91" i="2"/>
  <c r="X90" i="2"/>
  <c r="W90" i="2"/>
  <c r="T93" i="2"/>
  <c r="S93" i="2"/>
  <c r="T91" i="2"/>
  <c r="S91" i="2"/>
  <c r="T90" i="2"/>
  <c r="S90" i="2"/>
  <c r="P91" i="2"/>
  <c r="O91" i="2"/>
  <c r="P90" i="2"/>
  <c r="O90" i="2"/>
  <c r="L93" i="2"/>
  <c r="K93" i="2"/>
  <c r="L92" i="2"/>
  <c r="K92" i="2"/>
  <c r="L91" i="2"/>
  <c r="K91" i="2"/>
  <c r="L90" i="2"/>
  <c r="K90" i="2"/>
  <c r="H93" i="2"/>
  <c r="G93" i="2"/>
  <c r="H92" i="2"/>
  <c r="G92" i="2"/>
  <c r="H91" i="2"/>
  <c r="G91" i="2"/>
  <c r="H90" i="2"/>
  <c r="P101" i="2"/>
  <c r="O101" i="2"/>
  <c r="P100" i="2"/>
  <c r="O100" i="2"/>
  <c r="P99" i="2"/>
  <c r="O99" i="2"/>
  <c r="P98" i="2"/>
  <c r="O98" i="2"/>
  <c r="L101" i="2"/>
  <c r="K101" i="2"/>
  <c r="L100" i="2"/>
  <c r="K100" i="2"/>
  <c r="L99" i="2"/>
  <c r="K99" i="2"/>
  <c r="L98" i="2"/>
  <c r="K98" i="2"/>
  <c r="H101" i="2"/>
  <c r="G101" i="2"/>
  <c r="H100" i="2"/>
  <c r="G100" i="2"/>
  <c r="H99" i="2"/>
  <c r="G99" i="2"/>
  <c r="H98" i="2"/>
  <c r="D74" i="2"/>
  <c r="C74" i="2"/>
  <c r="D77" i="2"/>
  <c r="C77" i="2"/>
  <c r="D76" i="2"/>
  <c r="C76" i="2"/>
  <c r="D75" i="2"/>
  <c r="C75" i="2"/>
  <c r="D99" i="2"/>
  <c r="D100" i="2"/>
  <c r="D101" i="2"/>
  <c r="D98" i="2"/>
  <c r="C98" i="2"/>
  <c r="C91" i="2"/>
  <c r="D91" i="2"/>
  <c r="C92" i="2"/>
  <c r="D92" i="2"/>
  <c r="C93" i="2"/>
  <c r="D93" i="2"/>
  <c r="D90" i="2"/>
  <c r="C90" i="2"/>
  <c r="C83" i="2"/>
  <c r="D83" i="2"/>
  <c r="C84" i="2"/>
  <c r="D84" i="2"/>
  <c r="C85" i="2"/>
  <c r="D85" i="2"/>
  <c r="D82" i="2"/>
  <c r="C82" i="2"/>
  <c r="D59" i="2"/>
  <c r="D66" i="2"/>
  <c r="D67" i="2"/>
  <c r="D68" i="2"/>
  <c r="D69" i="2"/>
  <c r="D60" i="2"/>
  <c r="D61" i="2"/>
  <c r="D62" i="2"/>
  <c r="C67" i="2"/>
  <c r="C68" i="2"/>
  <c r="C69" i="2"/>
  <c r="C66" i="2"/>
  <c r="H52" i="2"/>
  <c r="G52" i="2"/>
  <c r="H55" i="2"/>
  <c r="G55" i="2"/>
  <c r="H54" i="2"/>
  <c r="G54" i="2"/>
  <c r="H53" i="2"/>
  <c r="G53" i="2"/>
  <c r="D53" i="2"/>
  <c r="D54" i="2"/>
  <c r="D55" i="2"/>
  <c r="D52" i="2"/>
  <c r="C55" i="2"/>
  <c r="C54" i="2"/>
  <c r="C53" i="2"/>
  <c r="C52" i="2"/>
  <c r="H48" i="2"/>
  <c r="G48" i="2"/>
  <c r="H47" i="2"/>
  <c r="G47" i="2"/>
  <c r="H46" i="2"/>
  <c r="G46" i="2"/>
  <c r="H45" i="2"/>
  <c r="G45" i="2"/>
  <c r="D45" i="2"/>
  <c r="D46" i="2"/>
  <c r="D47" i="2"/>
  <c r="D48" i="2"/>
  <c r="C45" i="2"/>
  <c r="C46" i="2"/>
  <c r="C47" i="2"/>
  <c r="C48" i="2"/>
  <c r="D38" i="2"/>
  <c r="D39" i="2"/>
  <c r="D40" i="2"/>
  <c r="D41" i="2"/>
  <c r="C38" i="2"/>
  <c r="C39" i="2"/>
  <c r="C40" i="2"/>
  <c r="C41" i="2"/>
  <c r="D32" i="2"/>
  <c r="D33" i="2"/>
  <c r="D34" i="2"/>
  <c r="D31" i="2"/>
  <c r="C31" i="2"/>
  <c r="C32" i="2"/>
  <c r="C33" i="2"/>
  <c r="C34" i="2"/>
  <c r="D25" i="2"/>
  <c r="D26" i="2"/>
  <c r="D27" i="2"/>
  <c r="D24" i="2"/>
  <c r="C24" i="2"/>
  <c r="C25" i="2"/>
  <c r="C26" i="2"/>
  <c r="C27" i="2"/>
  <c r="C17" i="2"/>
  <c r="D18" i="2"/>
  <c r="C18" i="2"/>
  <c r="D19" i="2"/>
  <c r="C19" i="2"/>
  <c r="D20" i="2"/>
  <c r="C20" i="2"/>
  <c r="D17" i="2"/>
  <c r="D10" i="2"/>
  <c r="C10" i="2"/>
  <c r="D11" i="2"/>
  <c r="C11" i="2"/>
  <c r="D12" i="2"/>
  <c r="C12" i="2"/>
  <c r="D13" i="2"/>
  <c r="C13" i="2"/>
  <c r="D4" i="2"/>
  <c r="D5" i="2"/>
  <c r="D6" i="2"/>
  <c r="D3" i="2"/>
  <c r="C4" i="2"/>
  <c r="C5" i="2"/>
  <c r="C6" i="2"/>
  <c r="C3" i="2"/>
  <c r="H153" i="2" l="1"/>
  <c r="O93" i="2"/>
  <c r="P92" i="2"/>
  <c r="O92" i="2"/>
  <c r="P93" i="2"/>
  <c r="S92" i="2"/>
  <c r="T92" i="2"/>
</calcChain>
</file>

<file path=xl/sharedStrings.xml><?xml version="1.0" encoding="utf-8"?>
<sst xmlns="http://schemas.openxmlformats.org/spreadsheetml/2006/main" count="2238" uniqueCount="437">
  <si>
    <t>11531002.abf</t>
  </si>
  <si>
    <t>11531005.abf</t>
  </si>
  <si>
    <t>11601003.abf</t>
  </si>
  <si>
    <t>11601004.abf</t>
  </si>
  <si>
    <t>11601005.abf</t>
  </si>
  <si>
    <t>11d07001.abf</t>
  </si>
  <si>
    <t>11d08003.abf</t>
  </si>
  <si>
    <t>guesthost_Ala</t>
  </si>
  <si>
    <t>guesthost_Leu</t>
  </si>
  <si>
    <t>guesthost_Phe</t>
  </si>
  <si>
    <t>guesthost_Thr</t>
  </si>
  <si>
    <t>guesthost_Trp</t>
  </si>
  <si>
    <t>guesthost_TrpDL</t>
  </si>
  <si>
    <t>guesthost_Tyr</t>
  </si>
  <si>
    <t>peptide_name</t>
  </si>
  <si>
    <t>peptide_conc</t>
  </si>
  <si>
    <t>raw_data_file</t>
  </si>
  <si>
    <t>time_sampling</t>
  </si>
  <si>
    <t>user</t>
  </si>
  <si>
    <t>jmcolby</t>
  </si>
  <si>
    <t>voltage</t>
  </si>
  <si>
    <t>comments</t>
  </si>
  <si>
    <t>nanopore_name</t>
  </si>
  <si>
    <t>PA</t>
  </si>
  <si>
    <t>peptide_sequence</t>
  </si>
  <si>
    <t>KKKKKWWSWW</t>
  </si>
  <si>
    <t>buffer</t>
  </si>
  <si>
    <t>SCB</t>
  </si>
  <si>
    <t>data_file</t>
  </si>
  <si>
    <t>data_path</t>
  </si>
  <si>
    <t>simulation</t>
  </si>
  <si>
    <t>experimental</t>
  </si>
  <si>
    <t>added_noise</t>
  </si>
  <si>
    <t>State</t>
  </si>
  <si>
    <t>cur</t>
  </si>
  <si>
    <t>rel cur</t>
  </si>
  <si>
    <t>frac cond</t>
  </si>
  <si>
    <t>guesthost_His</t>
  </si>
  <si>
    <t>guesthost_Gln</t>
  </si>
  <si>
    <t>guesthost_Asp</t>
  </si>
  <si>
    <t>guesthost_Arg</t>
  </si>
  <si>
    <t>guesthost_Pro</t>
  </si>
  <si>
    <t>guesthost_Met</t>
  </si>
  <si>
    <t>guesthost_Ile</t>
  </si>
  <si>
    <t>guesthost_Gly</t>
  </si>
  <si>
    <t>guesthost_Val</t>
  </si>
  <si>
    <t>guesthost_Trps</t>
  </si>
  <si>
    <t>guesthost_Lys</t>
  </si>
  <si>
    <t>guesthost_Glu</t>
  </si>
  <si>
    <t>guesthost_Ser</t>
  </si>
  <si>
    <t>guesthost_Asn</t>
  </si>
  <si>
    <t>special</t>
  </si>
  <si>
    <t>special-1</t>
  </si>
  <si>
    <t>special-2</t>
  </si>
  <si>
    <t>Special</t>
  </si>
  <si>
    <t>guesthost_Cys</t>
  </si>
  <si>
    <t>9001, 9003</t>
  </si>
  <si>
    <t>9003-6</t>
  </si>
  <si>
    <t>10d01001-guesthost_Trp-20_mV-400_Hz.atf</t>
  </si>
  <si>
    <t>False</t>
  </si>
  <si>
    <t>True</t>
  </si>
  <si>
    <t>11224005-guesthost_Trp-20_mV-400_Hz.atf</t>
  </si>
  <si>
    <t>11309001-guesthost_Trp-40_mV-400_Hz.atf</t>
  </si>
  <si>
    <t>11309002-guesthost_Trp-50_mV-400_Hz.atf</t>
  </si>
  <si>
    <t>11309002-guesthost_Trp-60_mV-400_Hz.atf</t>
  </si>
  <si>
    <t>11309002-guesthost_Trp-80_mV-400_Hz.atf</t>
  </si>
  <si>
    <t>11531000.abf</t>
  </si>
  <si>
    <t>11309002.abf</t>
  </si>
  <si>
    <t>11309001.abf</t>
  </si>
  <si>
    <t>11531000-guesthost_Trp-20_mV-400_Hz.atf</t>
  </si>
  <si>
    <t>11531000-guesthost_Trp-40_mV-400_Hz.atf</t>
  </si>
  <si>
    <t>11531001.abf</t>
  </si>
  <si>
    <t>11531001-guesthost_Trp-30_mV-400_Hz.atf</t>
  </si>
  <si>
    <t>11531001-guesthost_Trp-40_mV-400_Hz.atf</t>
  </si>
  <si>
    <t>11531002-guesthost_Trp-40_mV-400_Hz.atf</t>
  </si>
  <si>
    <t>11531003.abf</t>
  </si>
  <si>
    <t>11531004.abf</t>
  </si>
  <si>
    <t>11531003-guesthost_Trp-30_mV-400_Hz.atf</t>
  </si>
  <si>
    <t>11531004-guesthost_Trp-30_mV-400_Hz.atf</t>
  </si>
  <si>
    <t>11531005-guesthost_Trp-20_mV-400_Hz.atf</t>
  </si>
  <si>
    <t>11531005-guesthost_Trp-30_mV-400_Hz.atf</t>
  </si>
  <si>
    <t>11531006.abf</t>
  </si>
  <si>
    <t>11531005-guesthost_Trp-40_mV-400_Hz.atf</t>
  </si>
  <si>
    <t>11531006-guesthost_Trp-20_mV-400_Hz.atf</t>
  </si>
  <si>
    <t>11531006-guesthost_Trp-30_mV-400_Hz.atf</t>
  </si>
  <si>
    <t>11531006-guesthost_Trp-40_mV-400_Hz.atf</t>
  </si>
  <si>
    <t>11601000.abf</t>
  </si>
  <si>
    <t>11601000-guesthost_Trp-20_mV-400_Hz.atf</t>
  </si>
  <si>
    <t>11601000-guesthost_Trp-30_mV-400_Hz.atf</t>
  </si>
  <si>
    <t>11601000-guesthost_Trp-40_mV-400_Hz.atf</t>
  </si>
  <si>
    <t>11601000-guesthost_Trp-50_mV-400_Hz.atf</t>
  </si>
  <si>
    <t>11601000-guesthost_Trp-60_mV-400_Hz-rpt_1.atf</t>
  </si>
  <si>
    <t>11601000-guesthost_Trp-60_mV-400_Hz-rpt_2.atf</t>
  </si>
  <si>
    <t>11601000-guesthost_Trp-80_mV-400_Hz-rpt_1.atf</t>
  </si>
  <si>
    <t>11601000-guesthost_Trp-80_mV-400_Hz-rpt_2.atf</t>
  </si>
  <si>
    <t>11601001.abf</t>
  </si>
  <si>
    <t>11601001-guesthost_Trp-50_mV-400_Hz-rpt_1.atf</t>
  </si>
  <si>
    <t>11601001-guesthost_Trp-50_mV-400_Hz-rpt_2.atf</t>
  </si>
  <si>
    <t>11601001-guesthost_Trp-60_mV-400_Hz-rpt_1.atf</t>
  </si>
  <si>
    <t>11601001-guesthost_Trp-60_mV-400_Hz-rpt_2.atf</t>
  </si>
  <si>
    <t>11601001-guesthost_Trp-80_mV-400_Hz-rpt_1.atf</t>
  </si>
  <si>
    <t>11601001-guesthost_Trp-80_mV-400_Hz-rpt_2.atf</t>
  </si>
  <si>
    <t>11601003-guesthost_Trp-20_mV-400_Hz.atf</t>
  </si>
  <si>
    <t>11601003-guesthost_Trp-40_mV-400_Hz.atf</t>
  </si>
  <si>
    <t>11601004-guesthost_Trp-40_mV-400_Hz.atf</t>
  </si>
  <si>
    <t>11601004-guesthost_Trp-20_mV-400_Hz.atf</t>
  </si>
  <si>
    <t>11601005-guesthost_Trp-30_mV-400_Hz-rpt_1.atf</t>
  </si>
  <si>
    <t>11601005-guesthost_Trp-40_mV-400_Hz.atf</t>
  </si>
  <si>
    <t>11603000.abf</t>
  </si>
  <si>
    <t>11603000-guesthost_Trp-20_mV-400_Hz-rpt_1.atf</t>
  </si>
  <si>
    <t>11603000-guesthost_Trp-20_mV-400_Hz-rpt_2.atf</t>
  </si>
  <si>
    <t>11603000-guesthost_Trp-30_mV-400_Hz-rpt_1.atf</t>
  </si>
  <si>
    <t>11603000-guesthost_Trp-30_mV-400_Hz-rpt_2.atf</t>
  </si>
  <si>
    <t>11603000-guesthost_Trp-40_mV-400_Hz.atf</t>
  </si>
  <si>
    <t>11610000.abf</t>
  </si>
  <si>
    <t>11610000-guesthost_Trp-10_mV-400_Hz-rpt_1.atf</t>
  </si>
  <si>
    <t>11610000-guesthost_Trp-10_mV-400_Hz-rpt_2.atf</t>
  </si>
  <si>
    <t>11610000-guesthost_Trp-10_mV-400_Hz-rpt_3.atf</t>
  </si>
  <si>
    <t>11610000-guesthost_Trp-15_mV-400_Hz-rpt_1.atf</t>
  </si>
  <si>
    <t>11610000-guesthost_Trp-15_mV-400_Hz-rpt_2.atf</t>
  </si>
  <si>
    <t>11610000-guesthost_Trp-25_mV-400_Hz-rpt_1.atf</t>
  </si>
  <si>
    <t>11610000-guesthost_Trp-25_mV-400_Hz-rpt_2.atf</t>
  </si>
  <si>
    <t>11d07000.abf</t>
  </si>
  <si>
    <t>11d07000-guesthost_Trp-20_mV-400_Hz.atf</t>
  </si>
  <si>
    <t>11d07000-guesthost_Trp-30_mV-400_Hz.atf</t>
  </si>
  <si>
    <t>11d07000-guesthost_Trp-40_mV-400_Hz.atf</t>
  </si>
  <si>
    <t>11d07000-guesthost_Trp-50_mV-400_Hz.atf</t>
  </si>
  <si>
    <t>11d07001-guesthost_Trp-15_mV-400_Hz.atf</t>
  </si>
  <si>
    <t>11d07001-guesthost_Trp-80_mV-400_Hz.atf</t>
  </si>
  <si>
    <t>11d07002.abf</t>
  </si>
  <si>
    <t>11d07002-guesthost_Trp-30_mV-400_Hz.atf</t>
  </si>
  <si>
    <t>11d07002-guesthost_Trp-50_mV-400_Hz.atf</t>
  </si>
  <si>
    <t>11d07002-guesthost_Trp-60_mV-400_Hz.atf</t>
  </si>
  <si>
    <t>11d07002-guesthost_Trp-80_mV-400_Hz.atf</t>
  </si>
  <si>
    <t>11d08000.abf</t>
  </si>
  <si>
    <t>11d08000-guesthost_Trp-20_mV-400_Hz.atf</t>
  </si>
  <si>
    <t>11d08001.abf</t>
  </si>
  <si>
    <t>11d08001-guesthost_Trp-15_mV-400_Hz.atf</t>
  </si>
  <si>
    <t>11d08001-guesthost_Trp-75_mV-400_Hz.atf</t>
  </si>
  <si>
    <t>11d08001-guesthost_Trp-80_mV-400_Hz.atf</t>
  </si>
  <si>
    <t>11d08002.abf</t>
  </si>
  <si>
    <t>11d08002-guesthost_Trp-20_mV-400_Hz-rpt_1.atf</t>
  </si>
  <si>
    <t>11d08002-guesthost_Trp-20_mV-400_Hz-rpt_2.atf</t>
  </si>
  <si>
    <t>11d08002-guesthost_Trp-40_mV-400_Hz.atf</t>
  </si>
  <si>
    <t>11d08003-guesthost_Trp-50_mV-400_Hz.atf</t>
  </si>
  <si>
    <t>11d08003-guesthost_Trp-75_mV-400_Hz.atf</t>
  </si>
  <si>
    <t>11d08003-guesthost_Trp-60_mV-400_Hz.atf</t>
  </si>
  <si>
    <t>ph_cis</t>
  </si>
  <si>
    <t>ph_trans</t>
  </si>
  <si>
    <t>salt</t>
  </si>
  <si>
    <t>KCl</t>
  </si>
  <si>
    <t>salt_conc</t>
  </si>
  <si>
    <t>11601000-guesthost_Trp-70_mV-400_Hz-rpt_1.atf</t>
  </si>
  <si>
    <t>11601000-guesthost_Trp-70_mV-400_Hz-rpt_2.atf</t>
  </si>
  <si>
    <t>11601000-guesthost_Trp-70_mV-400_Hz-rpt_3.atf</t>
  </si>
  <si>
    <t>11601000-guesthost_Trp-70_mV-400_Hz-rpt_4.atf</t>
  </si>
  <si>
    <t>11531000-guesthost_Trp-70_mV-400_Hz-rpt_1.atf</t>
  </si>
  <si>
    <t>11531000-guesthost_Trp-70_mV-400_Hz-rpt_2.atf</t>
  </si>
  <si>
    <t>11531006-guesthost_Trp-70_MV-400_Hz-rpt_1.atf</t>
  </si>
  <si>
    <t>11531006-guesthost_Trp-70_MV-400_Hz-rpt_2.atf</t>
  </si>
  <si>
    <t>11601003-guesthost_Trp-70_mV-400_Hz.atf</t>
  </si>
  <si>
    <t>11601004-guesthost_Trp-70_mV-400_Hz.atf</t>
  </si>
  <si>
    <t>11601005-guesthost_Trp-70_mV-400_Hz.atf</t>
  </si>
  <si>
    <t>10d01001-guesthost_Trp-20_mV-400_Hz.csv</t>
  </si>
  <si>
    <t>11224005-guesthost_Trp-20_mV-400_Hz.csv</t>
  </si>
  <si>
    <t>11309001-guesthost_Trp-40_mV-400_Hz.csv</t>
  </si>
  <si>
    <t>11309002-guesthost_Trp-50_mV-400_Hz.csv</t>
  </si>
  <si>
    <t>11309002-guesthost_Trp-60_mV-400_Hz.csv</t>
  </si>
  <si>
    <t>11309002-guesthost_Trp-80_mV-400_Hz.csv</t>
  </si>
  <si>
    <t>11531000-guesthost_Trp-20_mV-400_Hz.csv</t>
  </si>
  <si>
    <t>11531000-guesthost_Trp-40_mV-400_Hz.csv</t>
  </si>
  <si>
    <t>11531001-guesthost_Trp-30_mV-400_Hz.csv</t>
  </si>
  <si>
    <t>11531001-guesthost_Trp-40_mV-400_Hz.csv</t>
  </si>
  <si>
    <t>11531002-guesthost_Trp-40_mV-400_Hz.csv</t>
  </si>
  <si>
    <t>11531003-guesthost_Trp-30_mV-400_Hz.csv</t>
  </si>
  <si>
    <t>11531004-guesthost_Trp-30_mV-400_Hz.csv</t>
  </si>
  <si>
    <t>11531005-guesthost_Trp-20_mV-400_Hz.csv</t>
  </si>
  <si>
    <t>11531005-guesthost_Trp-30_mV-400_Hz.csv</t>
  </si>
  <si>
    <t>11531005-guesthost_Trp-40_mV-400_Hz.csv</t>
  </si>
  <si>
    <t>11531006-guesthost_Trp-20_mV-400_Hz.csv</t>
  </si>
  <si>
    <t>11531006-guesthost_Trp-30_mV-400_Hz.csv</t>
  </si>
  <si>
    <t>11531006-guesthost_Trp-40_mV-400_Hz.csv</t>
  </si>
  <si>
    <t>11601000-guesthost_Trp-20_mV-400_Hz.csv</t>
  </si>
  <si>
    <t>11601000-guesthost_Trp-30_mV-400_Hz.csv</t>
  </si>
  <si>
    <t>11601000-guesthost_Trp-40_mV-400_Hz.csv</t>
  </si>
  <si>
    <t>11601000-guesthost_Trp-50_mV-400_Hz.csv</t>
  </si>
  <si>
    <t>11601000-guesthost_Trp-60_mV-400_Hz-rpt_1.csv</t>
  </si>
  <si>
    <t>11601000-guesthost_Trp-60_mV-400_Hz-rpt_2.csv</t>
  </si>
  <si>
    <t>11601000-guesthost_Trp-80_mV-400_Hz-rpt_1.csv</t>
  </si>
  <si>
    <t>11601000-guesthost_Trp-80_mV-400_Hz-rpt_2.csv</t>
  </si>
  <si>
    <t>11601001-guesthost_Trp-50_mV-400_Hz-rpt_1.csv</t>
  </si>
  <si>
    <t>11601001-guesthost_Trp-50_mV-400_Hz-rpt_2.csv</t>
  </si>
  <si>
    <t>11601001-guesthost_Trp-60_mV-400_Hz-rpt_1.csv</t>
  </si>
  <si>
    <t>11601001-guesthost_Trp-60_mV-400_Hz-rpt_2.csv</t>
  </si>
  <si>
    <t>11601001-guesthost_Trp-80_mV-400_Hz-rpt_1.csv</t>
  </si>
  <si>
    <t>11601001-guesthost_Trp-80_mV-400_Hz-rpt_2.csv</t>
  </si>
  <si>
    <t>11601003-guesthost_Trp-20_mV-400_Hz.csv</t>
  </si>
  <si>
    <t>11601003-guesthost_Trp-40_mV-400_Hz.csv</t>
  </si>
  <si>
    <t>11601004-guesthost_Trp-20_mV-400_Hz.csv</t>
  </si>
  <si>
    <t>11601004-guesthost_Trp-40_mV-400_Hz.csv</t>
  </si>
  <si>
    <t>11601005-guesthost_Trp-30_mV-400_Hz-rpt_1.csv</t>
  </si>
  <si>
    <t>11601005-guesthost_Trp-40_mV-400_Hz.csv</t>
  </si>
  <si>
    <t>11603000-guesthost_Trp-20_mV-400_Hz-rpt_1.csv</t>
  </si>
  <si>
    <t>11603000-guesthost_Trp-20_mV-400_Hz-rpt_2.csv</t>
  </si>
  <si>
    <t>11603000-guesthost_Trp-30_mV-400_Hz-rpt_1.csv</t>
  </si>
  <si>
    <t>11603000-guesthost_Trp-30_mV-400_Hz-rpt_2.csv</t>
  </si>
  <si>
    <t>11603000-guesthost_Trp-40_mV-400_Hz.csv</t>
  </si>
  <si>
    <t>11610000-guesthost_Trp-10_mV-400_Hz-rpt_1.csv</t>
  </si>
  <si>
    <t>11610000-guesthost_Trp-10_mV-400_Hz-rpt_2.csv</t>
  </si>
  <si>
    <t>11610000-guesthost_Trp-10_mV-400_Hz-rpt_3.csv</t>
  </si>
  <si>
    <t>11610000-guesthost_Trp-15_mV-400_Hz-rpt_1.csv</t>
  </si>
  <si>
    <t>11610000-guesthost_Trp-15_mV-400_Hz-rpt_2.csv</t>
  </si>
  <si>
    <t>11610000-guesthost_Trp-25_mV-400_Hz-rpt_1.csv</t>
  </si>
  <si>
    <t>11610000-guesthost_Trp-25_mV-400_Hz-rpt_2.csv</t>
  </si>
  <si>
    <t>11d07000-guesthost_Trp-20_mV-400_Hz.csv</t>
  </si>
  <si>
    <t>11d07000-guesthost_Trp-30_mV-400_Hz.csv</t>
  </si>
  <si>
    <t>11d07000-guesthost_Trp-40_mV-400_Hz.csv</t>
  </si>
  <si>
    <t>11d07000-guesthost_Trp-50_mV-400_Hz.csv</t>
  </si>
  <si>
    <t>11d07001-guesthost_Trp-15_mV-400_Hz.csv</t>
  </si>
  <si>
    <t>11d07001-guesthost_Trp-80_mV-400_Hz.csv</t>
  </si>
  <si>
    <t>11d07002-guesthost_Trp-30_mV-400_Hz.csv</t>
  </si>
  <si>
    <t>11d07002-guesthost_Trp-50_mV-400_Hz.csv</t>
  </si>
  <si>
    <t>11d07002-guesthost_Trp-60_mV-400_Hz.csv</t>
  </si>
  <si>
    <t>11d07002-guesthost_Trp-80_mV-400_Hz.csv</t>
  </si>
  <si>
    <t>11d08000-guesthost_Trp-20_mV-400_Hz.csv</t>
  </si>
  <si>
    <t>11d08001-guesthost_Trp-15_mV-400_Hz.csv</t>
  </si>
  <si>
    <t>11d08001-guesthost_Trp-75_mV-400_Hz.csv</t>
  </si>
  <si>
    <t>11d08001-guesthost_Trp-80_mV-400_Hz.csv</t>
  </si>
  <si>
    <t>11d08002-guesthost_Trp-20_mV-400_Hz-rpt_1.csv</t>
  </si>
  <si>
    <t>11d08002-guesthost_Trp-20_mV-400_Hz-rpt_2.csv</t>
  </si>
  <si>
    <t>11d08002-guesthost_Trp-40_mV-400_Hz.csv</t>
  </si>
  <si>
    <t>11d08003-guesthost_Trp-50_mV-400_Hz.csv</t>
  </si>
  <si>
    <t>11d08003-guesthost_Trp-60_mV-400_Hz.csv</t>
  </si>
  <si>
    <t>11d08003-guesthost_Trp-75_mV-400_Hz.csv</t>
  </si>
  <si>
    <t>11601000-guesthost_Trp-70_mV-400_Hz-rpt_1.csv</t>
  </si>
  <si>
    <t>11601000-guesthost_Trp-70_mV-400_Hz-rpt_2.csv</t>
  </si>
  <si>
    <t>11601000-guesthost_Trp-70_mV-400_Hz-rpt_3.csv</t>
  </si>
  <si>
    <t>11601000-guesthost_Trp-70_mV-400_Hz-rpt_4.csv</t>
  </si>
  <si>
    <t>11531000-guesthost_Trp-70_mV-400_Hz-rpt_1.csv</t>
  </si>
  <si>
    <t>11531000-guesthost_Trp-70_mV-400_Hz-rpt_2.csv</t>
  </si>
  <si>
    <t>11531006-guesthost_Trp-70_MV-400_Hz-rpt_1.csv</t>
  </si>
  <si>
    <t>11531006-guesthost_Trp-70_MV-400_Hz-rpt_2.csv</t>
  </si>
  <si>
    <t>11601003-guesthost_Trp-70_mV-400_Hz.csv</t>
  </si>
  <si>
    <t>11601004-guesthost_Trp-70_mV-400_Hz.csv</t>
  </si>
  <si>
    <t>11601005-guesthost_Trp-70_mV-400_Hz.csv</t>
  </si>
  <si>
    <t>KKKKKYYSYY</t>
  </si>
  <si>
    <t>11n09001.abf</t>
  </si>
  <si>
    <t>11n09001-guesthost_Tyr-20_mV-600_Hz.atf</t>
  </si>
  <si>
    <t>11n09004.abf</t>
  </si>
  <si>
    <t>11n09004-guesthost_Tyr-20_mV-600_Hz.atf</t>
  </si>
  <si>
    <t>11n09004-guesthost_Tyr-40_mV-600_Hz.atf</t>
  </si>
  <si>
    <t>11n16001.abf</t>
  </si>
  <si>
    <t>11n16001-guesthost_Tyr-20_mV-600_Hz.atf</t>
  </si>
  <si>
    <t>11n16002.abf</t>
  </si>
  <si>
    <t>11n16002-guesthost_Tyr-80_mV-600_Hz.atf</t>
  </si>
  <si>
    <t>11n16002-guesthost_Tyr-75_mV-600_Hz.atf</t>
  </si>
  <si>
    <t>11n16002-guesthost_Tyr-30_mV-600_Hz-rpt_1.atf</t>
  </si>
  <si>
    <t>11n16002-guesthost_Tyr-30_mV-600_Hz-rpt_2.atf</t>
  </si>
  <si>
    <t>11n16003.abf</t>
  </si>
  <si>
    <t>11n16003-guesthost_Tyr-15_mV-600_Hz.atf</t>
  </si>
  <si>
    <t>11n16003-guesthost_Tyr-25_mV-600_Hz.atf</t>
  </si>
  <si>
    <t>11n16003-guesthost_Tyr-30_mV-600_Hz.atf</t>
  </si>
  <si>
    <t>11n16003-guesthost_Tyr-35_mV-600_Hz.atf</t>
  </si>
  <si>
    <t>11n16003-guesthost_Tyr-40_mV-600_Hz.atf</t>
  </si>
  <si>
    <t>11n16003-guesthost_Tyr-50_mV-600_Hz.atf</t>
  </si>
  <si>
    <t>11n16003-guesthost_Tyr-60_mV-600_Hz.atf</t>
  </si>
  <si>
    <t>11n16003-guesthost_Tyr-65_mV-600_Hz.atf</t>
  </si>
  <si>
    <t>11n16003-guesthost_Tyr-75_mV-600_Hz.atf</t>
  </si>
  <si>
    <t>11d02001.abf</t>
  </si>
  <si>
    <t>11d02001-guesthost_Tyr-60_mV-600_Hz.atf</t>
  </si>
  <si>
    <t>11d02001-guesthost_Tyr-80_mV-600_Hz.atf</t>
  </si>
  <si>
    <t>11d02001-guesthost_Tyr-90_mV-600_Hz.atf</t>
  </si>
  <si>
    <t>11d02003.abf</t>
  </si>
  <si>
    <t>11d02003-guesthost_Tyr-15_mV-600_Hz.atf</t>
  </si>
  <si>
    <t>11d02003-guesthost_Tyr-25_mV-600_Hz.atf</t>
  </si>
  <si>
    <t>11d02003-guesthost_Tyr-30_mV-600_Hz.atf</t>
  </si>
  <si>
    <t>11d02003-guesthost_Tyr-35_mV-600_Hz-rpt_1.atf</t>
  </si>
  <si>
    <t>11d02003-guesthost_Tyr-35_mV-600_Hz-rpt_2.atf</t>
  </si>
  <si>
    <t>11d02003-guesthost_Tyr-40_mV-600_Hz.atf</t>
  </si>
  <si>
    <t>11d02003-guesthost_Tyr-50_mV-600_Hz.atf</t>
  </si>
  <si>
    <t>11d02003-guesthost_Tyr-60_mV-600_Hz.atf</t>
  </si>
  <si>
    <t>11d02003-guesthost_Tyr-65_mV-600_Hz-rpt_1.atf</t>
  </si>
  <si>
    <t>11d02003-guesthost_Tyr-65_mV-600_Hz-rpt_2.atf</t>
  </si>
  <si>
    <t>11d02003-guesthost_Tyr-90_mV-600_Hz.atf</t>
  </si>
  <si>
    <t>11n09001-guesthost_Tyr-20_mV-400_Hz-downsampled.atf</t>
  </si>
  <si>
    <t>11n09004-guesthost_Tyr-20_mV-400_Hz-downsampled.atf</t>
  </si>
  <si>
    <t>11n09004-guesthost_Tyr-40_mV-400_Hz-downsampled.atf</t>
  </si>
  <si>
    <t>11n16001-guesthost_Tyr-20_mV-400_Hz-downsampled.atf</t>
  </si>
  <si>
    <t>11n16002-guesthost_Tyr-30_mV-400_Hz-downsampled-rpt_1.atf</t>
  </si>
  <si>
    <t>11n16002-guesthost_Tyr-30_mV-400_Hz-downsampled-rpt_2.atf</t>
  </si>
  <si>
    <t>11n16002-guesthost_Tyr-75_mV-400_Hz-downsampled.atf</t>
  </si>
  <si>
    <t>11n16002-guesthost_Tyr-80_mV-400_Hz-downsampled.atf</t>
  </si>
  <si>
    <t>11n16003-guesthost_Tyr-15_mV-400_Hz-downsampled.atf</t>
  </si>
  <si>
    <t>11n16003-guesthost_Tyr-25_mV-400_Hz-downsampled.atf</t>
  </si>
  <si>
    <t>11n16003-guesthost_Tyr-30_mV-400_Hz-downsampled.atf</t>
  </si>
  <si>
    <t>11n16003-guesthost_Tyr-35_mV-400_Hz-downsampled.atf</t>
  </si>
  <si>
    <t>11n16003-guesthost_Tyr-40_mV-400_Hz-downsampled.atf</t>
  </si>
  <si>
    <t>11n16003-guesthost_Tyr-50_mV-400_Hz-downsampled.atf</t>
  </si>
  <si>
    <t>11n16003-guesthost_Tyr-60_mV-400_Hz-downsampled.atf</t>
  </si>
  <si>
    <t>11n16003-guesthost_Tyr-65_mV-400_Hz-downsampled.atf</t>
  </si>
  <si>
    <t>11n16003-guesthost_Tyr-75_mV-400_Hz-downsampled.atf</t>
  </si>
  <si>
    <t>11d02001-guesthost_Tyr-60_mV-400_Hz-downsampled.atf</t>
  </si>
  <si>
    <t>11d02001-guesthost_Tyr-80_mV-400_Hz-downsampled.atf</t>
  </si>
  <si>
    <t>11d02001-guesthost_Tyr-90_mV-400_Hz-downsampled.atf</t>
  </si>
  <si>
    <t>11d02003-guesthost_Tyr-15_mV-400_Hz-downsampled.atf</t>
  </si>
  <si>
    <t>11d02003-guesthost_Tyr-25_mV-400_Hz-downsampled.atf</t>
  </si>
  <si>
    <t>11d02003-guesthost_Tyr-30_mV-400_Hz-downsampled.atf</t>
  </si>
  <si>
    <t>11d02003-guesthost_Tyr-35_mV-400_Hz-downsampled-rpt_1.atf</t>
  </si>
  <si>
    <t>11d02003-guesthost_Tyr-35_mV-400_Hz-downsampled-rpt_2.atf</t>
  </si>
  <si>
    <t>11d02003-guesthost_Tyr-40_mV-400_Hz-downsampled.atf</t>
  </si>
  <si>
    <t>11d02003-guesthost_Tyr-50_mV-400_Hz-downsampled.atf</t>
  </si>
  <si>
    <t>11d02003-guesthost_Tyr-60_mV-400_Hz-downsampled.atf</t>
  </si>
  <si>
    <t>11d02003-guesthost_Tyr-65_mV-400_Hz-downsampled-rpt_1.atf</t>
  </si>
  <si>
    <t>11d02003-guesthost_Tyr-65_mV-400_Hz-downsampled-rpt_2.atf</t>
  </si>
  <si>
    <t>11d02003-guesthost_Tyr-90_mV-400_Hz-downsampled.atf</t>
  </si>
  <si>
    <t>bakrantz</t>
  </si>
  <si>
    <t>11n09001-guesthost_Tyr-70_mV-600_Hz-rpt_1.atf</t>
  </si>
  <si>
    <t>11n09001-guesthost_Tyr-70_mV-600_Hz-rpt_2.atf</t>
  </si>
  <si>
    <t>11n09001-guesthost_Tyr-70_mV-600_Hz-rpt_3.atf</t>
  </si>
  <si>
    <t>11n09001-guesthost_Tyr-70_mV-600_Hz-rpt_4.atf</t>
  </si>
  <si>
    <t>11n09001-guesthost_Tyr-70_mV-600_Hz-rpt_5.atf</t>
  </si>
  <si>
    <t>11n09001-guesthost_Tyr-70_mV-600_Hz-rpt_6.atf</t>
  </si>
  <si>
    <t>11n09001-guesthost_Tyr-70_mV-600_Hz-rpt_7.atf</t>
  </si>
  <si>
    <t>11n09002-guesthost_Tyr-70_mV-600_Hz-rpt_1.atf</t>
  </si>
  <si>
    <t>11n09002-guesthost_Tyr-70_mV-600_Hz-rpt_2.atf</t>
  </si>
  <si>
    <t>11n09002-guesthost_Tyr-70_mV-600_Hz-rpt_3.atf</t>
  </si>
  <si>
    <t>11n09002-guesthost_Tyr-70_mV-600_Hz-rpt_4.atf</t>
  </si>
  <si>
    <t>11n09002-guesthost_Tyr-70_mV-600_Hz-rpt_5.atf</t>
  </si>
  <si>
    <t>11n09002-guesthost_Tyr-70_mV-600_Hz-rpt_6.atf</t>
  </si>
  <si>
    <t>11n09002-guesthost_Tyr-70_mV-600_Hz-rpt_7.atf</t>
  </si>
  <si>
    <t>11n09001-guesthost_Tyr-70_mV-400_Hz-downsampled-rpt_1.atf</t>
  </si>
  <si>
    <t>11n09001-guesthost_Tyr-70_mV-400_Hz-downsampled-rpt_2.atf</t>
  </si>
  <si>
    <t>11n09001-guesthost_Tyr-70_mV-400_Hz-downsampled-rpt_3.atf</t>
  </si>
  <si>
    <t>11n09001-guesthost_Tyr-70_mV-400_Hz-downsampled-rpt_4.atf</t>
  </si>
  <si>
    <t>11n09001-guesthost_Tyr-70_mV-400_Hz-downsampled-rpt_5.atf</t>
  </si>
  <si>
    <t>11n09001-guesthost_Tyr-70_mV-400_Hz-downsampled-rpt_6.atf</t>
  </si>
  <si>
    <t>11n09001-guesthost_Tyr-70_mV-400_Hz-downsampled-rpt_7.atf</t>
  </si>
  <si>
    <t>11n09002-guesthost_Tyr-70_mV-400_Hz-downsampled-rpt_1.atf</t>
  </si>
  <si>
    <t>11n09002-guesthost_Tyr-70_mV-400_Hz-downsampled-rpt_2.atf</t>
  </si>
  <si>
    <t>11n09002-guesthost_Tyr-70_mV-400_Hz-downsampled-rpt_3.atf</t>
  </si>
  <si>
    <t>11n09002-guesthost_Tyr-70_mV-400_Hz-downsampled-rpt_4.atf</t>
  </si>
  <si>
    <t>11n09002-guesthost_Tyr-70_mV-400_Hz-downsampled-rpt_5.atf</t>
  </si>
  <si>
    <t>11n09002-guesthost_Tyr-70_mV-400_Hz-downsampled-rpt_6.atf</t>
  </si>
  <si>
    <t>11n09002-guesthost_Tyr-70_mV-400_Hz-downsampled-rpt_7.atf</t>
  </si>
  <si>
    <t>current</t>
  </si>
  <si>
    <t>peptide</t>
  </si>
  <si>
    <t>nanopore</t>
  </si>
  <si>
    <t>11n09001-guesthost_Tyr-20_mV-600_Hz.csv</t>
  </si>
  <si>
    <t>11n09004-guesthost_Tyr-20_mV-600_Hz.csv</t>
  </si>
  <si>
    <t>11n09004-guesthost_Tyr-40_mV-600_Hz.csv</t>
  </si>
  <si>
    <t>11n16001-guesthost_Tyr-20_mV-600_Hz.csv</t>
  </si>
  <si>
    <t>11n16002-guesthost_Tyr-30_mV-600_Hz-rpt_1.csv</t>
  </si>
  <si>
    <t>11n16002-guesthost_Tyr-30_mV-600_Hz-rpt_2.csv</t>
  </si>
  <si>
    <t>11n16002-guesthost_Tyr-75_mV-600_Hz.csv</t>
  </si>
  <si>
    <t>11n16002-guesthost_Tyr-80_mV-600_Hz.csv</t>
  </si>
  <si>
    <t>11n16003-guesthost_Tyr-15_mV-600_Hz.csv</t>
  </si>
  <si>
    <t>11n16003-guesthost_Tyr-25_mV-600_Hz.csv</t>
  </si>
  <si>
    <t>11n16003-guesthost_Tyr-30_mV-600_Hz.csv</t>
  </si>
  <si>
    <t>11n16003-guesthost_Tyr-35_mV-600_Hz.csv</t>
  </si>
  <si>
    <t>11n16003-guesthost_Tyr-40_mV-600_Hz.csv</t>
  </si>
  <si>
    <t>11n16003-guesthost_Tyr-50_mV-600_Hz.csv</t>
  </si>
  <si>
    <t>11n16003-guesthost_Tyr-60_mV-600_Hz.csv</t>
  </si>
  <si>
    <t>11n16003-guesthost_Tyr-65_mV-600_Hz.csv</t>
  </si>
  <si>
    <t>11n16003-guesthost_Tyr-75_mV-600_Hz.csv</t>
  </si>
  <si>
    <t>11d02001-guesthost_Tyr-60_mV-600_Hz.csv</t>
  </si>
  <si>
    <t>11d02001-guesthost_Tyr-80_mV-600_Hz.csv</t>
  </si>
  <si>
    <t>11d02001-guesthost_Tyr-90_mV-600_Hz.csv</t>
  </si>
  <si>
    <t>11d02003-guesthost_Tyr-15_mV-600_Hz.csv</t>
  </si>
  <si>
    <t>11d02003-guesthost_Tyr-25_mV-600_Hz.csv</t>
  </si>
  <si>
    <t>11d02003-guesthost_Tyr-30_mV-600_Hz.csv</t>
  </si>
  <si>
    <t>11d02003-guesthost_Tyr-35_mV-600_Hz-rpt_1.csv</t>
  </si>
  <si>
    <t>11d02003-guesthost_Tyr-35_mV-600_Hz-rpt_2.csv</t>
  </si>
  <si>
    <t>11d02003-guesthost_Tyr-40_mV-600_Hz.csv</t>
  </si>
  <si>
    <t>11d02003-guesthost_Tyr-50_mV-600_Hz.csv</t>
  </si>
  <si>
    <t>11d02003-guesthost_Tyr-60_mV-600_Hz.csv</t>
  </si>
  <si>
    <t>11d02003-guesthost_Tyr-65_mV-600_Hz-rpt_1.csv</t>
  </si>
  <si>
    <t>11d02003-guesthost_Tyr-65_mV-600_Hz-rpt_2.csv</t>
  </si>
  <si>
    <t>11d02003-guesthost_Tyr-90_mV-600_Hz.csv</t>
  </si>
  <si>
    <t>11n09001-guesthost_Tyr-20_mV-400_Hz-downsampled.csv</t>
  </si>
  <si>
    <t>11n09004-guesthost_Tyr-20_mV-400_Hz-downsampled.csv</t>
  </si>
  <si>
    <t>11n09004-guesthost_Tyr-40_mV-400_Hz-downsampled.csv</t>
  </si>
  <si>
    <t>11n16001-guesthost_Tyr-20_mV-400_Hz-downsampled.csv</t>
  </si>
  <si>
    <t>11n16002-guesthost_Tyr-30_mV-400_Hz-downsampled-rpt_1.csv</t>
  </si>
  <si>
    <t>11n16002-guesthost_Tyr-30_mV-400_Hz-downsampled-rpt_2.csv</t>
  </si>
  <si>
    <t>11n16002-guesthost_Tyr-75_mV-400_Hz-downsampled.csv</t>
  </si>
  <si>
    <t>11n16002-guesthost_Tyr-80_mV-400_Hz-downsampled.csv</t>
  </si>
  <si>
    <t>11n16003-guesthost_Tyr-15_mV-400_Hz-downsampled.csv</t>
  </si>
  <si>
    <t>11n16003-guesthost_Tyr-25_mV-400_Hz-downsampled.csv</t>
  </si>
  <si>
    <t>11n16003-guesthost_Tyr-30_mV-400_Hz-downsampled.csv</t>
  </si>
  <si>
    <t>11n16003-guesthost_Tyr-35_mV-400_Hz-downsampled.csv</t>
  </si>
  <si>
    <t>11n16003-guesthost_Tyr-40_mV-400_Hz-downsampled.csv</t>
  </si>
  <si>
    <t>11n16003-guesthost_Tyr-50_mV-400_Hz-downsampled.csv</t>
  </si>
  <si>
    <t>11n16003-guesthost_Tyr-60_mV-400_Hz-downsampled.csv</t>
  </si>
  <si>
    <t>11n16003-guesthost_Tyr-65_mV-400_Hz-downsampled.csv</t>
  </si>
  <si>
    <t>11n16003-guesthost_Tyr-75_mV-400_Hz-downsampled.csv</t>
  </si>
  <si>
    <t>11d02001-guesthost_Tyr-60_mV-400_Hz-downsampled.csv</t>
  </si>
  <si>
    <t>11d02001-guesthost_Tyr-80_mV-400_Hz-downsampled.csv</t>
  </si>
  <si>
    <t>11d02001-guesthost_Tyr-90_mV-400_Hz-downsampled.csv</t>
  </si>
  <si>
    <t>11d02003-guesthost_Tyr-15_mV-400_Hz-downsampled.csv</t>
  </si>
  <si>
    <t>11d02003-guesthost_Tyr-25_mV-400_Hz-downsampled.csv</t>
  </si>
  <si>
    <t>11d02003-guesthost_Tyr-30_mV-400_Hz-downsampled.csv</t>
  </si>
  <si>
    <t>11d02003-guesthost_Tyr-35_mV-400_Hz-downsampled-rpt_1.csv</t>
  </si>
  <si>
    <t>11d02003-guesthost_Tyr-35_mV-400_Hz-downsampled-rpt_2.csv</t>
  </si>
  <si>
    <t>11d02003-guesthost_Tyr-40_mV-400_Hz-downsampled.csv</t>
  </si>
  <si>
    <t>11d02003-guesthost_Tyr-50_mV-400_Hz-downsampled.csv</t>
  </si>
  <si>
    <t>11d02003-guesthost_Tyr-60_mV-400_Hz-downsampled.csv</t>
  </si>
  <si>
    <t>11d02003-guesthost_Tyr-65_mV-400_Hz-downsampled-rpt_1.csv</t>
  </si>
  <si>
    <t>11d02003-guesthost_Tyr-65_mV-400_Hz-downsampled-rpt_2.csv</t>
  </si>
  <si>
    <t>11d02003-guesthost_Tyr-90_mV-400_Hz-downsampled.csv</t>
  </si>
  <si>
    <t>11n09001-guesthost_Tyr-70_mV-600_Hz-rpt_1.csv</t>
  </si>
  <si>
    <t>11n09001-guesthost_Tyr-70_mV-600_Hz-rpt_2.csv</t>
  </si>
  <si>
    <t>11n09001-guesthost_Tyr-70_mV-600_Hz-rpt_3.csv</t>
  </si>
  <si>
    <t>11n09001-guesthost_Tyr-70_mV-600_Hz-rpt_4.csv</t>
  </si>
  <si>
    <t>11n09001-guesthost_Tyr-70_mV-600_Hz-rpt_5.csv</t>
  </si>
  <si>
    <t>11n09001-guesthost_Tyr-70_mV-600_Hz-rpt_6.csv</t>
  </si>
  <si>
    <t>11n09001-guesthost_Tyr-70_mV-600_Hz-rpt_7.csv</t>
  </si>
  <si>
    <t>11n09002-guesthost_Tyr-70_mV-600_Hz-rpt_1.csv</t>
  </si>
  <si>
    <t>11n09002-guesthost_Tyr-70_mV-600_Hz-rpt_2.csv</t>
  </si>
  <si>
    <t>11n09002-guesthost_Tyr-70_mV-600_Hz-rpt_3.csv</t>
  </si>
  <si>
    <t>11n09002-guesthost_Tyr-70_mV-600_Hz-rpt_4.csv</t>
  </si>
  <si>
    <t>11n09002-guesthost_Tyr-70_mV-600_Hz-rpt_5.csv</t>
  </si>
  <si>
    <t>11n09002-guesthost_Tyr-70_mV-600_Hz-rpt_6.csv</t>
  </si>
  <si>
    <t>11n09002-guesthost_Tyr-70_mV-600_Hz-rpt_7.csv</t>
  </si>
  <si>
    <t>11n09001-guesthost_Tyr-70_mV-400_Hz-downsampled-rpt_1.csv</t>
  </si>
  <si>
    <t>11n09001-guesthost_Tyr-70_mV-400_Hz-downsampled-rpt_2.csv</t>
  </si>
  <si>
    <t>11n09001-guesthost_Tyr-70_mV-400_Hz-downsampled-rpt_3.csv</t>
  </si>
  <si>
    <t>11n09001-guesthost_Tyr-70_mV-400_Hz-downsampled-rpt_4.csv</t>
  </si>
  <si>
    <t>11n09001-guesthost_Tyr-70_mV-400_Hz-downsampled-rpt_5.csv</t>
  </si>
  <si>
    <t>11n09001-guesthost_Tyr-70_mV-400_Hz-downsampled-rpt_6.csv</t>
  </si>
  <si>
    <t>11n09001-guesthost_Tyr-70_mV-400_Hz-downsampled-rpt_7.csv</t>
  </si>
  <si>
    <t>11n09002-guesthost_Tyr-70_mV-400_Hz-downsampled-rpt_1.csv</t>
  </si>
  <si>
    <t>11n09002-guesthost_Tyr-70_mV-400_Hz-downsampled-rpt_2.csv</t>
  </si>
  <si>
    <t>11n09002-guesthost_Tyr-70_mV-400_Hz-downsampled-rpt_3.csv</t>
  </si>
  <si>
    <t>11n09002-guesthost_Tyr-70_mV-400_Hz-downsampled-rpt_4.csv</t>
  </si>
  <si>
    <t>11n09002-guesthost_Tyr-70_mV-400_Hz-downsampled-rpt_5.csv</t>
  </si>
  <si>
    <t>11n09002-guesthost_Tyr-70_mV-400_Hz-downsampled-rpt_6.csv</t>
  </si>
  <si>
    <t>11n09002-guesthost_Tyr-70_mV-400_Hz-downsampled-rpt_7.csv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</si>
</sst>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0"/>
    <numFmt numFmtId="165" formatCode="#,##0.0000"/>
  </numFmts>
  <fonts count="21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sz val="8"/>
      <name val="Aptos Narrow"/>
      <family val="2"/>
      <scheme val="minor"/>
    </font>
    <font>
      <b/>
      <sz val="10"/>
      <color rgb="FF000000"/>
      <name val="Helvetica Neue"/>
      <family val="2"/>
    </font>
    <font>
      <sz val="10"/>
      <color rgb="FF000000"/>
      <name val="Helvetica Neue"/>
      <family val="2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0">
    <xf numFmtId="0" fontId="0" fillId="0" borderId="0" xfId="0"/>
    <xf numFmtId="0" fontId="19" fillId="33" borderId="0" xfId="0" applyFont="1" applyFill="1"/>
    <xf numFmtId="0" fontId="16" fillId="33" borderId="0" xfId="0" applyFont="1" applyFill="1"/>
    <xf numFmtId="2" fontId="0" fillId="0" borderId="0" xfId="0" applyNumberFormat="1"/>
    <xf numFmtId="3" fontId="0" fillId="0" borderId="0" xfId="0" applyNumberFormat="1"/>
    <xf numFmtId="164" fontId="0" fillId="0" borderId="0" xfId="0" applyNumberFormat="1"/>
    <xf numFmtId="165" fontId="0" fillId="0" borderId="0" xfId="0" applyNumberFormat="1"/>
    <xf numFmtId="0" fontId="0" fillId="0" borderId="0" xfId="0" quotePrefix="1"/>
    <xf numFmtId="0" fontId="20" fillId="0" borderId="0" xfId="0" applyFont="1"/>
    <xf numFmtId="0" fontId="0" fillId="34" borderId="0" xfId="0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open_pore_currents!$C$2:$C$26</c:f>
              <c:numCache>
                <c:formatCode>General</c:formatCode>
                <c:ptCount val="25"/>
                <c:pt idx="0">
                  <c:v>15</c:v>
                </c:pt>
                <c:pt idx="1">
                  <c:v>20</c:v>
                </c:pt>
                <c:pt idx="2">
                  <c:v>25</c:v>
                </c:pt>
                <c:pt idx="3">
                  <c:v>30</c:v>
                </c:pt>
                <c:pt idx="4">
                  <c:v>35</c:v>
                </c:pt>
                <c:pt idx="5">
                  <c:v>40</c:v>
                </c:pt>
                <c:pt idx="6">
                  <c:v>50</c:v>
                </c:pt>
                <c:pt idx="7">
                  <c:v>60</c:v>
                </c:pt>
                <c:pt idx="8">
                  <c:v>65</c:v>
                </c:pt>
                <c:pt idx="9">
                  <c:v>70</c:v>
                </c:pt>
                <c:pt idx="10">
                  <c:v>75</c:v>
                </c:pt>
                <c:pt idx="11">
                  <c:v>80</c:v>
                </c:pt>
                <c:pt idx="12">
                  <c:v>90</c:v>
                </c:pt>
                <c:pt idx="13">
                  <c:v>10</c:v>
                </c:pt>
                <c:pt idx="14">
                  <c:v>15</c:v>
                </c:pt>
                <c:pt idx="15">
                  <c:v>20</c:v>
                </c:pt>
                <c:pt idx="16">
                  <c:v>25</c:v>
                </c:pt>
                <c:pt idx="17">
                  <c:v>30</c:v>
                </c:pt>
                <c:pt idx="18">
                  <c:v>40</c:v>
                </c:pt>
                <c:pt idx="19">
                  <c:v>50</c:v>
                </c:pt>
                <c:pt idx="20">
                  <c:v>60</c:v>
                </c:pt>
                <c:pt idx="21">
                  <c:v>70</c:v>
                </c:pt>
                <c:pt idx="22">
                  <c:v>70</c:v>
                </c:pt>
                <c:pt idx="23">
                  <c:v>75</c:v>
                </c:pt>
                <c:pt idx="24">
                  <c:v>80</c:v>
                </c:pt>
              </c:numCache>
            </c:numRef>
          </c:xVal>
          <c:yVal>
            <c:numRef>
              <c:f>open_pore_currents!$D$2:$D$26</c:f>
              <c:numCache>
                <c:formatCode>General</c:formatCode>
                <c:ptCount val="25"/>
                <c:pt idx="0">
                  <c:v>1.07207715511322</c:v>
                </c:pt>
                <c:pt idx="1">
                  <c:v>1.84024322032928</c:v>
                </c:pt>
                <c:pt idx="2">
                  <c:v>1.73575115203857</c:v>
                </c:pt>
                <c:pt idx="3">
                  <c:v>2.0944728851318302</c:v>
                </c:pt>
                <c:pt idx="4">
                  <c:v>2.4441828727722101</c:v>
                </c:pt>
                <c:pt idx="5">
                  <c:v>2.7057628631591801</c:v>
                </c:pt>
                <c:pt idx="6">
                  <c:v>3.3459525108337398</c:v>
                </c:pt>
                <c:pt idx="7">
                  <c:v>4.0377435684204102</c:v>
                </c:pt>
                <c:pt idx="8">
                  <c:v>4.3841829299926696</c:v>
                </c:pt>
                <c:pt idx="9">
                  <c:v>5.5954227447509703</c:v>
                </c:pt>
                <c:pt idx="10">
                  <c:v>4.9771194458007804</c:v>
                </c:pt>
                <c:pt idx="11">
                  <c:v>5.1956191062927202</c:v>
                </c:pt>
                <c:pt idx="12">
                  <c:v>6.5414180755615199</c:v>
                </c:pt>
                <c:pt idx="13">
                  <c:v>0.66517639160156306</c:v>
                </c:pt>
                <c:pt idx="14">
                  <c:v>1.0185406208038299</c:v>
                </c:pt>
                <c:pt idx="15">
                  <c:v>1.2935606241226201</c:v>
                </c:pt>
                <c:pt idx="16">
                  <c:v>1.6348180770873999</c:v>
                </c:pt>
                <c:pt idx="17">
                  <c:v>2.04004526138305</c:v>
                </c:pt>
                <c:pt idx="18">
                  <c:v>2.9066095352172798</c:v>
                </c:pt>
                <c:pt idx="19">
                  <c:v>3.2220287322997998</c:v>
                </c:pt>
                <c:pt idx="20">
                  <c:v>3.8447961807250901</c:v>
                </c:pt>
                <c:pt idx="21">
                  <c:v>4.6429948806762704</c:v>
                </c:pt>
                <c:pt idx="22">
                  <c:v>4.8516674041748002</c:v>
                </c:pt>
                <c:pt idx="23">
                  <c:v>4.8359022140502903</c:v>
                </c:pt>
                <c:pt idx="24">
                  <c:v>5.1615180969238201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14D-3A4F-87D8-686F1349E32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66968336"/>
        <c:axId val="990045935"/>
      </c:scatterChart>
      <c:valAx>
        <c:axId val="76696833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90045935"/>
        <c:crosses val="autoZero"/>
        <c:crossBetween val="midCat"/>
      </c:valAx>
      <c:valAx>
        <c:axId val="9900459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6696833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469900</xdr:colOff>
      <xdr:row>1</xdr:row>
      <xdr:rowOff>158750</xdr:rowOff>
    </xdr:from>
    <xdr:to>
      <xdr:col>10</xdr:col>
      <xdr:colOff>88900</xdr:colOff>
      <xdr:row>15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BC23ACE-CF90-432B-D25E-301D3EBFEF4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B02983-7886-F046-AB34-426E7E084EE9}">
  <dimension ref="A1:AE173"/>
  <sheetViews>
    <sheetView tabSelected="1" topLeftCell="A152" zoomScale="115" zoomScaleNormal="115" workbookViewId="0">
      <selection activeCell="B84" sqref="B84:B173"/>
    </sheetView>
  </sheetViews>
  <sheetFormatPr baseColWidth="10" defaultColWidth="11.1640625" defaultRowHeight="16" x14ac:dyDescent="0.2"/>
  <cols>
    <col min="1" max="1" width="14.5" bestFit="1" customWidth="1"/>
    <col min="2" max="2" width="42.83203125" bestFit="1" customWidth="1"/>
    <col min="3" max="3" width="7.5" bestFit="1" customWidth="1"/>
    <col min="4" max="4" width="10" bestFit="1" customWidth="1"/>
    <col min="5" max="5" width="12.1640625" customWidth="1"/>
    <col min="6" max="6" width="54.1640625" bestFit="1" customWidth="1"/>
    <col min="7" max="7" width="9.33203125" bestFit="1" customWidth="1"/>
    <col min="8" max="8" width="16" bestFit="1" customWidth="1"/>
    <col min="9" max="9" width="14.33203125" bestFit="1" customWidth="1"/>
    <col min="10" max="10" width="7.1640625" bestFit="1" customWidth="1"/>
    <col min="11" max="11" width="6.1640625" bestFit="1" customWidth="1"/>
    <col min="12" max="12" width="6.5" bestFit="1" customWidth="1"/>
    <col min="13" max="13" width="8.33203125" bestFit="1" customWidth="1"/>
    <col min="14" max="14" width="4.33203125" bestFit="1" customWidth="1"/>
    <col min="15" max="15" width="9.1640625" bestFit="1" customWidth="1"/>
    <col min="16" max="16" width="12.1640625" bestFit="1" customWidth="1"/>
    <col min="17" max="17" width="12.5" bestFit="1" customWidth="1"/>
    <col min="18" max="18" width="12.5" customWidth="1"/>
    <col min="19" max="19" width="12.33203125" bestFit="1" customWidth="1"/>
    <col min="20" max="20" width="14.5" bestFit="1" customWidth="1"/>
    <col min="22" max="22" width="7" bestFit="1" customWidth="1"/>
  </cols>
  <sheetData>
    <row r="1" spans="1:31" s="2" customFormat="1" x14ac:dyDescent="0.2">
      <c r="A1" s="2" t="s">
        <v>14</v>
      </c>
      <c r="B1" s="2" t="s">
        <v>28</v>
      </c>
      <c r="C1" s="2" t="s">
        <v>18</v>
      </c>
      <c r="D1" s="2" t="s">
        <v>30</v>
      </c>
      <c r="E1" s="2" t="s">
        <v>31</v>
      </c>
      <c r="F1" s="2" t="s">
        <v>16</v>
      </c>
      <c r="G1" s="2" t="s">
        <v>29</v>
      </c>
      <c r="H1" s="2" t="s">
        <v>24</v>
      </c>
      <c r="I1" s="2" t="s">
        <v>22</v>
      </c>
      <c r="J1" s="2" t="s">
        <v>20</v>
      </c>
      <c r="K1" s="2" t="s">
        <v>26</v>
      </c>
      <c r="L1" s="2" t="s">
        <v>147</v>
      </c>
      <c r="M1" s="2" t="s">
        <v>148</v>
      </c>
      <c r="N1" s="2" t="s">
        <v>149</v>
      </c>
      <c r="O1" s="2" t="s">
        <v>151</v>
      </c>
      <c r="P1" s="2" t="s">
        <v>15</v>
      </c>
      <c r="Q1" s="2" t="s">
        <v>17</v>
      </c>
      <c r="R1" s="2" t="s">
        <v>32</v>
      </c>
      <c r="S1" s="2" t="s">
        <v>21</v>
      </c>
      <c r="Z1" s="1"/>
      <c r="AE1" s="1"/>
    </row>
    <row r="2" spans="1:31" x14ac:dyDescent="0.2">
      <c r="A2" t="s">
        <v>11</v>
      </c>
      <c r="B2" s="8" t="s">
        <v>163</v>
      </c>
      <c r="C2" t="s">
        <v>19</v>
      </c>
      <c r="D2" s="7" t="s">
        <v>59</v>
      </c>
      <c r="E2" s="7" t="s">
        <v>60</v>
      </c>
      <c r="F2" t="s">
        <v>58</v>
      </c>
      <c r="H2" t="s">
        <v>25</v>
      </c>
      <c r="I2" t="s">
        <v>23</v>
      </c>
      <c r="J2">
        <v>20</v>
      </c>
      <c r="K2" t="s">
        <v>27</v>
      </c>
      <c r="L2">
        <v>5.6</v>
      </c>
      <c r="M2">
        <v>5.6</v>
      </c>
      <c r="N2" t="s">
        <v>150</v>
      </c>
      <c r="O2">
        <v>0.1</v>
      </c>
      <c r="P2">
        <v>90</v>
      </c>
      <c r="Q2">
        <v>400</v>
      </c>
    </row>
    <row r="3" spans="1:31" x14ac:dyDescent="0.2">
      <c r="A3" t="s">
        <v>11</v>
      </c>
      <c r="B3" s="8" t="s">
        <v>164</v>
      </c>
      <c r="C3" t="s">
        <v>19</v>
      </c>
      <c r="D3" s="7" t="s">
        <v>59</v>
      </c>
      <c r="E3" s="7" t="s">
        <v>60</v>
      </c>
      <c r="F3" t="s">
        <v>61</v>
      </c>
      <c r="H3" t="s">
        <v>25</v>
      </c>
      <c r="I3" t="s">
        <v>23</v>
      </c>
      <c r="J3">
        <v>20</v>
      </c>
      <c r="K3" t="s">
        <v>27</v>
      </c>
      <c r="L3">
        <v>5.6</v>
      </c>
      <c r="M3">
        <v>5.6</v>
      </c>
      <c r="N3" t="s">
        <v>150</v>
      </c>
      <c r="O3">
        <v>0.1</v>
      </c>
      <c r="P3">
        <v>90</v>
      </c>
      <c r="Q3">
        <v>400</v>
      </c>
    </row>
    <row r="4" spans="1:31" x14ac:dyDescent="0.2">
      <c r="A4" t="s">
        <v>11</v>
      </c>
      <c r="B4" s="8" t="s">
        <v>165</v>
      </c>
      <c r="C4" t="s">
        <v>19</v>
      </c>
      <c r="D4" s="7" t="s">
        <v>59</v>
      </c>
      <c r="E4" s="7" t="s">
        <v>60</v>
      </c>
      <c r="F4" t="s">
        <v>62</v>
      </c>
      <c r="H4" t="s">
        <v>25</v>
      </c>
      <c r="I4" t="s">
        <v>23</v>
      </c>
      <c r="J4">
        <v>40</v>
      </c>
      <c r="K4" t="s">
        <v>27</v>
      </c>
      <c r="L4">
        <v>5.6</v>
      </c>
      <c r="M4">
        <v>5.6</v>
      </c>
      <c r="N4" t="s">
        <v>150</v>
      </c>
      <c r="O4">
        <v>0.1</v>
      </c>
      <c r="P4">
        <v>90</v>
      </c>
      <c r="Q4">
        <v>400</v>
      </c>
      <c r="S4" t="s">
        <v>68</v>
      </c>
    </row>
    <row r="5" spans="1:31" x14ac:dyDescent="0.2">
      <c r="A5" t="s">
        <v>11</v>
      </c>
      <c r="B5" s="8" t="s">
        <v>166</v>
      </c>
      <c r="C5" t="s">
        <v>19</v>
      </c>
      <c r="D5" s="7" t="s">
        <v>59</v>
      </c>
      <c r="E5" s="7" t="s">
        <v>60</v>
      </c>
      <c r="F5" t="s">
        <v>63</v>
      </c>
      <c r="H5" t="s">
        <v>25</v>
      </c>
      <c r="I5" t="s">
        <v>23</v>
      </c>
      <c r="J5">
        <v>50</v>
      </c>
      <c r="K5" t="s">
        <v>27</v>
      </c>
      <c r="L5">
        <v>5.6</v>
      </c>
      <c r="M5">
        <v>5.6</v>
      </c>
      <c r="N5" t="s">
        <v>150</v>
      </c>
      <c r="O5">
        <v>0.1</v>
      </c>
      <c r="P5">
        <v>53</v>
      </c>
      <c r="Q5">
        <v>400</v>
      </c>
      <c r="S5" t="s">
        <v>67</v>
      </c>
    </row>
    <row r="6" spans="1:31" x14ac:dyDescent="0.2">
      <c r="A6" t="s">
        <v>11</v>
      </c>
      <c r="B6" s="8" t="s">
        <v>167</v>
      </c>
      <c r="C6" t="s">
        <v>19</v>
      </c>
      <c r="D6" s="7" t="s">
        <v>59</v>
      </c>
      <c r="E6" s="7" t="s">
        <v>60</v>
      </c>
      <c r="F6" t="s">
        <v>64</v>
      </c>
      <c r="H6" t="s">
        <v>25</v>
      </c>
      <c r="I6" t="s">
        <v>23</v>
      </c>
      <c r="J6">
        <v>60</v>
      </c>
      <c r="K6" t="s">
        <v>27</v>
      </c>
      <c r="L6">
        <v>5.6</v>
      </c>
      <c r="M6">
        <v>5.6</v>
      </c>
      <c r="N6" t="s">
        <v>150</v>
      </c>
      <c r="O6">
        <v>0.1</v>
      </c>
      <c r="P6">
        <v>53</v>
      </c>
      <c r="Q6">
        <v>400</v>
      </c>
      <c r="S6" t="s">
        <v>67</v>
      </c>
    </row>
    <row r="7" spans="1:31" x14ac:dyDescent="0.2">
      <c r="A7" t="s">
        <v>11</v>
      </c>
      <c r="B7" s="8" t="s">
        <v>168</v>
      </c>
      <c r="C7" t="s">
        <v>19</v>
      </c>
      <c r="D7" s="7" t="s">
        <v>59</v>
      </c>
      <c r="E7" s="7" t="s">
        <v>60</v>
      </c>
      <c r="F7" t="s">
        <v>65</v>
      </c>
      <c r="H7" t="s">
        <v>25</v>
      </c>
      <c r="I7" t="s">
        <v>23</v>
      </c>
      <c r="J7">
        <v>80</v>
      </c>
      <c r="K7" t="s">
        <v>27</v>
      </c>
      <c r="L7">
        <v>5.6</v>
      </c>
      <c r="M7">
        <v>5.6</v>
      </c>
      <c r="N7" t="s">
        <v>150</v>
      </c>
      <c r="O7">
        <v>0.1</v>
      </c>
      <c r="P7">
        <v>53</v>
      </c>
      <c r="Q7">
        <v>400</v>
      </c>
      <c r="S7" t="s">
        <v>67</v>
      </c>
    </row>
    <row r="8" spans="1:31" x14ac:dyDescent="0.2">
      <c r="A8" t="s">
        <v>11</v>
      </c>
      <c r="B8" s="8" t="s">
        <v>169</v>
      </c>
      <c r="C8" t="s">
        <v>19</v>
      </c>
      <c r="D8" s="7" t="s">
        <v>59</v>
      </c>
      <c r="E8" s="7" t="s">
        <v>60</v>
      </c>
      <c r="F8" t="s">
        <v>69</v>
      </c>
      <c r="H8" t="s">
        <v>25</v>
      </c>
      <c r="I8" t="s">
        <v>23</v>
      </c>
      <c r="J8">
        <v>20</v>
      </c>
      <c r="K8" t="s">
        <v>27</v>
      </c>
      <c r="L8">
        <v>5.6</v>
      </c>
      <c r="M8">
        <v>5.6</v>
      </c>
      <c r="N8" t="s">
        <v>150</v>
      </c>
      <c r="O8">
        <v>0.1</v>
      </c>
      <c r="P8">
        <v>90</v>
      </c>
      <c r="Q8">
        <v>400</v>
      </c>
      <c r="S8" t="s">
        <v>66</v>
      </c>
    </row>
    <row r="9" spans="1:31" x14ac:dyDescent="0.2">
      <c r="A9" t="s">
        <v>11</v>
      </c>
      <c r="B9" s="8" t="s">
        <v>170</v>
      </c>
      <c r="C9" t="s">
        <v>19</v>
      </c>
      <c r="D9" s="7" t="s">
        <v>59</v>
      </c>
      <c r="E9" s="7" t="s">
        <v>60</v>
      </c>
      <c r="F9" t="s">
        <v>70</v>
      </c>
      <c r="H9" t="s">
        <v>25</v>
      </c>
      <c r="I9" t="s">
        <v>23</v>
      </c>
      <c r="J9">
        <v>40</v>
      </c>
      <c r="K9" t="s">
        <v>27</v>
      </c>
      <c r="L9">
        <v>5.6</v>
      </c>
      <c r="M9">
        <v>5.6</v>
      </c>
      <c r="N9" t="s">
        <v>150</v>
      </c>
      <c r="O9">
        <v>0.1</v>
      </c>
      <c r="P9">
        <v>90</v>
      </c>
      <c r="Q9">
        <v>400</v>
      </c>
      <c r="S9" t="s">
        <v>66</v>
      </c>
    </row>
    <row r="10" spans="1:31" x14ac:dyDescent="0.2">
      <c r="A10" t="s">
        <v>11</v>
      </c>
      <c r="B10" s="8" t="s">
        <v>171</v>
      </c>
      <c r="C10" t="s">
        <v>19</v>
      </c>
      <c r="D10" s="7" t="s">
        <v>59</v>
      </c>
      <c r="E10" s="7" t="s">
        <v>60</v>
      </c>
      <c r="F10" t="s">
        <v>72</v>
      </c>
      <c r="H10" t="s">
        <v>25</v>
      </c>
      <c r="I10" t="s">
        <v>23</v>
      </c>
      <c r="J10">
        <v>30</v>
      </c>
      <c r="K10" t="s">
        <v>27</v>
      </c>
      <c r="L10">
        <v>5.6</v>
      </c>
      <c r="M10">
        <v>5.6</v>
      </c>
      <c r="N10" t="s">
        <v>150</v>
      </c>
      <c r="O10">
        <v>0.1</v>
      </c>
      <c r="P10">
        <v>90</v>
      </c>
      <c r="Q10">
        <v>400</v>
      </c>
      <c r="S10" t="s">
        <v>71</v>
      </c>
    </row>
    <row r="11" spans="1:31" x14ac:dyDescent="0.2">
      <c r="A11" t="s">
        <v>11</v>
      </c>
      <c r="B11" s="8" t="s">
        <v>172</v>
      </c>
      <c r="C11" t="s">
        <v>19</v>
      </c>
      <c r="D11" s="7" t="s">
        <v>59</v>
      </c>
      <c r="E11" s="7" t="s">
        <v>60</v>
      </c>
      <c r="F11" t="s">
        <v>73</v>
      </c>
      <c r="H11" t="s">
        <v>25</v>
      </c>
      <c r="I11" t="s">
        <v>23</v>
      </c>
      <c r="J11">
        <v>40</v>
      </c>
      <c r="K11" t="s">
        <v>27</v>
      </c>
      <c r="L11">
        <v>5.6</v>
      </c>
      <c r="M11">
        <v>5.6</v>
      </c>
      <c r="N11" t="s">
        <v>150</v>
      </c>
      <c r="O11">
        <v>0.1</v>
      </c>
      <c r="P11">
        <v>90</v>
      </c>
      <c r="Q11">
        <v>400</v>
      </c>
      <c r="S11" t="s">
        <v>71</v>
      </c>
    </row>
    <row r="12" spans="1:31" x14ac:dyDescent="0.2">
      <c r="A12" t="s">
        <v>11</v>
      </c>
      <c r="B12" s="8" t="s">
        <v>173</v>
      </c>
      <c r="C12" t="s">
        <v>19</v>
      </c>
      <c r="D12" s="7" t="s">
        <v>59</v>
      </c>
      <c r="E12" s="7" t="s">
        <v>60</v>
      </c>
      <c r="F12" t="s">
        <v>74</v>
      </c>
      <c r="H12" t="s">
        <v>25</v>
      </c>
      <c r="I12" t="s">
        <v>23</v>
      </c>
      <c r="J12">
        <v>40</v>
      </c>
      <c r="K12" t="s">
        <v>27</v>
      </c>
      <c r="L12">
        <v>5.6</v>
      </c>
      <c r="M12">
        <v>5.6</v>
      </c>
      <c r="N12" t="s">
        <v>150</v>
      </c>
      <c r="O12">
        <v>0.1</v>
      </c>
      <c r="P12">
        <v>90</v>
      </c>
      <c r="Q12">
        <v>400</v>
      </c>
      <c r="S12" t="s">
        <v>0</v>
      </c>
    </row>
    <row r="13" spans="1:31" x14ac:dyDescent="0.2">
      <c r="A13" t="s">
        <v>11</v>
      </c>
      <c r="B13" s="8" t="s">
        <v>174</v>
      </c>
      <c r="C13" t="s">
        <v>19</v>
      </c>
      <c r="D13" s="7" t="s">
        <v>59</v>
      </c>
      <c r="E13" s="7" t="s">
        <v>60</v>
      </c>
      <c r="F13" t="s">
        <v>77</v>
      </c>
      <c r="H13" t="s">
        <v>25</v>
      </c>
      <c r="I13" t="s">
        <v>23</v>
      </c>
      <c r="J13">
        <v>30</v>
      </c>
      <c r="K13" t="s">
        <v>27</v>
      </c>
      <c r="L13">
        <v>5.6</v>
      </c>
      <c r="M13">
        <v>5.6</v>
      </c>
      <c r="N13" t="s">
        <v>150</v>
      </c>
      <c r="O13">
        <v>0.1</v>
      </c>
      <c r="P13">
        <v>90</v>
      </c>
      <c r="Q13">
        <v>400</v>
      </c>
      <c r="S13" t="s">
        <v>75</v>
      </c>
    </row>
    <row r="14" spans="1:31" x14ac:dyDescent="0.2">
      <c r="A14" t="s">
        <v>11</v>
      </c>
      <c r="B14" s="8" t="s">
        <v>175</v>
      </c>
      <c r="C14" t="s">
        <v>19</v>
      </c>
      <c r="D14" s="7" t="s">
        <v>59</v>
      </c>
      <c r="E14" s="7" t="s">
        <v>60</v>
      </c>
      <c r="F14" t="s">
        <v>78</v>
      </c>
      <c r="H14" t="s">
        <v>25</v>
      </c>
      <c r="I14" t="s">
        <v>23</v>
      </c>
      <c r="J14">
        <v>30</v>
      </c>
      <c r="K14" t="s">
        <v>27</v>
      </c>
      <c r="L14">
        <v>5.6</v>
      </c>
      <c r="M14">
        <v>5.6</v>
      </c>
      <c r="N14" t="s">
        <v>150</v>
      </c>
      <c r="O14">
        <v>0.1</v>
      </c>
      <c r="P14">
        <v>90</v>
      </c>
      <c r="Q14">
        <v>400</v>
      </c>
      <c r="S14" t="s">
        <v>76</v>
      </c>
    </row>
    <row r="15" spans="1:31" x14ac:dyDescent="0.2">
      <c r="A15" t="s">
        <v>11</v>
      </c>
      <c r="B15" s="8" t="s">
        <v>176</v>
      </c>
      <c r="C15" t="s">
        <v>19</v>
      </c>
      <c r="D15" s="7" t="s">
        <v>59</v>
      </c>
      <c r="E15" s="7" t="s">
        <v>60</v>
      </c>
      <c r="F15" t="s">
        <v>79</v>
      </c>
      <c r="H15" t="s">
        <v>25</v>
      </c>
      <c r="I15" t="s">
        <v>23</v>
      </c>
      <c r="J15">
        <v>20</v>
      </c>
      <c r="K15" t="s">
        <v>27</v>
      </c>
      <c r="L15">
        <v>5.6</v>
      </c>
      <c r="M15">
        <v>5.6</v>
      </c>
      <c r="N15" t="s">
        <v>150</v>
      </c>
      <c r="O15">
        <v>0.1</v>
      </c>
      <c r="P15">
        <v>18</v>
      </c>
      <c r="Q15">
        <v>400</v>
      </c>
      <c r="S15" t="s">
        <v>1</v>
      </c>
    </row>
    <row r="16" spans="1:31" x14ac:dyDescent="0.2">
      <c r="A16" t="s">
        <v>11</v>
      </c>
      <c r="B16" s="8" t="s">
        <v>177</v>
      </c>
      <c r="C16" t="s">
        <v>19</v>
      </c>
      <c r="D16" s="7" t="s">
        <v>59</v>
      </c>
      <c r="E16" s="7" t="s">
        <v>60</v>
      </c>
      <c r="F16" t="s">
        <v>80</v>
      </c>
      <c r="H16" t="s">
        <v>25</v>
      </c>
      <c r="I16" t="s">
        <v>23</v>
      </c>
      <c r="J16">
        <v>30</v>
      </c>
      <c r="K16" t="s">
        <v>27</v>
      </c>
      <c r="L16">
        <v>5.6</v>
      </c>
      <c r="M16">
        <v>5.6</v>
      </c>
      <c r="N16" t="s">
        <v>150</v>
      </c>
      <c r="O16">
        <v>0.1</v>
      </c>
      <c r="P16">
        <v>18</v>
      </c>
      <c r="Q16">
        <v>400</v>
      </c>
      <c r="S16" t="s">
        <v>1</v>
      </c>
    </row>
    <row r="17" spans="1:19" x14ac:dyDescent="0.2">
      <c r="A17" t="s">
        <v>11</v>
      </c>
      <c r="B17" s="8" t="s">
        <v>178</v>
      </c>
      <c r="C17" t="s">
        <v>19</v>
      </c>
      <c r="D17" s="7" t="s">
        <v>59</v>
      </c>
      <c r="E17" s="7" t="s">
        <v>60</v>
      </c>
      <c r="F17" t="s">
        <v>82</v>
      </c>
      <c r="H17" t="s">
        <v>25</v>
      </c>
      <c r="I17" t="s">
        <v>23</v>
      </c>
      <c r="J17">
        <v>40</v>
      </c>
      <c r="K17" t="s">
        <v>27</v>
      </c>
      <c r="L17">
        <v>5.6</v>
      </c>
      <c r="M17">
        <v>5.6</v>
      </c>
      <c r="N17" t="s">
        <v>150</v>
      </c>
      <c r="O17">
        <v>0.1</v>
      </c>
      <c r="P17">
        <v>18</v>
      </c>
      <c r="Q17">
        <v>400</v>
      </c>
      <c r="S17" t="s">
        <v>1</v>
      </c>
    </row>
    <row r="18" spans="1:19" x14ac:dyDescent="0.2">
      <c r="A18" t="s">
        <v>11</v>
      </c>
      <c r="B18" s="8" t="s">
        <v>179</v>
      </c>
      <c r="C18" t="s">
        <v>19</v>
      </c>
      <c r="D18" s="7" t="s">
        <v>59</v>
      </c>
      <c r="E18" s="7" t="s">
        <v>60</v>
      </c>
      <c r="F18" t="s">
        <v>83</v>
      </c>
      <c r="H18" t="s">
        <v>25</v>
      </c>
      <c r="I18" t="s">
        <v>23</v>
      </c>
      <c r="J18">
        <v>20</v>
      </c>
      <c r="K18" t="s">
        <v>27</v>
      </c>
      <c r="L18">
        <v>5.6</v>
      </c>
      <c r="M18">
        <v>5.6</v>
      </c>
      <c r="N18" t="s">
        <v>150</v>
      </c>
      <c r="O18">
        <v>0.1</v>
      </c>
      <c r="P18">
        <v>18</v>
      </c>
      <c r="Q18">
        <v>400</v>
      </c>
      <c r="S18" t="s">
        <v>81</v>
      </c>
    </row>
    <row r="19" spans="1:19" x14ac:dyDescent="0.2">
      <c r="A19" t="s">
        <v>11</v>
      </c>
      <c r="B19" s="8" t="s">
        <v>180</v>
      </c>
      <c r="C19" t="s">
        <v>19</v>
      </c>
      <c r="D19" s="7" t="s">
        <v>59</v>
      </c>
      <c r="E19" s="7" t="s">
        <v>60</v>
      </c>
      <c r="F19" t="s">
        <v>84</v>
      </c>
      <c r="H19" t="s">
        <v>25</v>
      </c>
      <c r="I19" t="s">
        <v>23</v>
      </c>
      <c r="J19">
        <v>30</v>
      </c>
      <c r="K19" t="s">
        <v>27</v>
      </c>
      <c r="L19">
        <v>5.6</v>
      </c>
      <c r="M19">
        <v>5.6</v>
      </c>
      <c r="N19" t="s">
        <v>150</v>
      </c>
      <c r="O19">
        <v>0.1</v>
      </c>
      <c r="P19">
        <v>18</v>
      </c>
      <c r="Q19">
        <v>400</v>
      </c>
      <c r="S19" t="s">
        <v>81</v>
      </c>
    </row>
    <row r="20" spans="1:19" x14ac:dyDescent="0.2">
      <c r="A20" t="s">
        <v>11</v>
      </c>
      <c r="B20" s="8" t="s">
        <v>181</v>
      </c>
      <c r="C20" t="s">
        <v>19</v>
      </c>
      <c r="D20" s="7" t="s">
        <v>59</v>
      </c>
      <c r="E20" s="7" t="s">
        <v>60</v>
      </c>
      <c r="F20" t="s">
        <v>85</v>
      </c>
      <c r="H20" t="s">
        <v>25</v>
      </c>
      <c r="I20" t="s">
        <v>23</v>
      </c>
      <c r="J20">
        <v>40</v>
      </c>
      <c r="K20" t="s">
        <v>27</v>
      </c>
      <c r="L20">
        <v>5.6</v>
      </c>
      <c r="M20">
        <v>5.6</v>
      </c>
      <c r="N20" t="s">
        <v>150</v>
      </c>
      <c r="O20">
        <v>0.1</v>
      </c>
      <c r="P20">
        <v>18</v>
      </c>
      <c r="Q20">
        <v>400</v>
      </c>
      <c r="S20" t="s">
        <v>81</v>
      </c>
    </row>
    <row r="21" spans="1:19" x14ac:dyDescent="0.2">
      <c r="A21" t="s">
        <v>11</v>
      </c>
      <c r="B21" s="8" t="s">
        <v>182</v>
      </c>
      <c r="C21" t="s">
        <v>19</v>
      </c>
      <c r="D21" s="7" t="s">
        <v>59</v>
      </c>
      <c r="E21" s="7" t="s">
        <v>60</v>
      </c>
      <c r="F21" t="s">
        <v>87</v>
      </c>
      <c r="H21" t="s">
        <v>25</v>
      </c>
      <c r="I21" t="s">
        <v>23</v>
      </c>
      <c r="J21">
        <v>20</v>
      </c>
      <c r="K21" t="s">
        <v>27</v>
      </c>
      <c r="L21">
        <v>5.6</v>
      </c>
      <c r="M21">
        <v>5.6</v>
      </c>
      <c r="N21" t="s">
        <v>150</v>
      </c>
      <c r="O21">
        <v>0.1</v>
      </c>
      <c r="P21">
        <v>18</v>
      </c>
      <c r="Q21">
        <v>400</v>
      </c>
      <c r="S21" t="s">
        <v>86</v>
      </c>
    </row>
    <row r="22" spans="1:19" x14ac:dyDescent="0.2">
      <c r="A22" t="s">
        <v>11</v>
      </c>
      <c r="B22" s="8" t="s">
        <v>183</v>
      </c>
      <c r="C22" t="s">
        <v>19</v>
      </c>
      <c r="D22" s="7" t="s">
        <v>59</v>
      </c>
      <c r="E22" s="7" t="s">
        <v>60</v>
      </c>
      <c r="F22" t="s">
        <v>88</v>
      </c>
      <c r="H22" t="s">
        <v>25</v>
      </c>
      <c r="I22" t="s">
        <v>23</v>
      </c>
      <c r="J22">
        <v>30</v>
      </c>
      <c r="K22" t="s">
        <v>27</v>
      </c>
      <c r="L22">
        <v>5.6</v>
      </c>
      <c r="M22">
        <v>5.6</v>
      </c>
      <c r="N22" t="s">
        <v>150</v>
      </c>
      <c r="O22">
        <v>0.1</v>
      </c>
      <c r="P22">
        <v>18</v>
      </c>
      <c r="Q22">
        <v>400</v>
      </c>
      <c r="S22" t="s">
        <v>86</v>
      </c>
    </row>
    <row r="23" spans="1:19" x14ac:dyDescent="0.2">
      <c r="A23" t="s">
        <v>11</v>
      </c>
      <c r="B23" s="8" t="s">
        <v>184</v>
      </c>
      <c r="C23" t="s">
        <v>19</v>
      </c>
      <c r="D23" s="7" t="s">
        <v>59</v>
      </c>
      <c r="E23" s="7" t="s">
        <v>60</v>
      </c>
      <c r="F23" t="s">
        <v>89</v>
      </c>
      <c r="H23" t="s">
        <v>25</v>
      </c>
      <c r="I23" t="s">
        <v>23</v>
      </c>
      <c r="J23">
        <v>40</v>
      </c>
      <c r="K23" t="s">
        <v>27</v>
      </c>
      <c r="L23">
        <v>5.6</v>
      </c>
      <c r="M23">
        <v>5.6</v>
      </c>
      <c r="N23" t="s">
        <v>150</v>
      </c>
      <c r="O23">
        <v>0.1</v>
      </c>
      <c r="P23">
        <v>18</v>
      </c>
      <c r="Q23">
        <v>400</v>
      </c>
      <c r="S23" t="s">
        <v>86</v>
      </c>
    </row>
    <row r="24" spans="1:19" x14ac:dyDescent="0.2">
      <c r="A24" t="s">
        <v>11</v>
      </c>
      <c r="B24" s="8" t="s">
        <v>185</v>
      </c>
      <c r="C24" t="s">
        <v>19</v>
      </c>
      <c r="D24" s="7" t="s">
        <v>59</v>
      </c>
      <c r="E24" s="7" t="s">
        <v>60</v>
      </c>
      <c r="F24" t="s">
        <v>90</v>
      </c>
      <c r="H24" t="s">
        <v>25</v>
      </c>
      <c r="I24" t="s">
        <v>23</v>
      </c>
      <c r="J24">
        <v>50</v>
      </c>
      <c r="K24" t="s">
        <v>27</v>
      </c>
      <c r="L24">
        <v>5.6</v>
      </c>
      <c r="M24">
        <v>5.6</v>
      </c>
      <c r="N24" t="s">
        <v>150</v>
      </c>
      <c r="O24">
        <v>0.1</v>
      </c>
      <c r="P24">
        <v>18</v>
      </c>
      <c r="Q24">
        <v>400</v>
      </c>
      <c r="S24" t="s">
        <v>86</v>
      </c>
    </row>
    <row r="25" spans="1:19" x14ac:dyDescent="0.2">
      <c r="A25" t="s">
        <v>11</v>
      </c>
      <c r="B25" s="8" t="s">
        <v>186</v>
      </c>
      <c r="C25" t="s">
        <v>19</v>
      </c>
      <c r="D25" s="7" t="s">
        <v>59</v>
      </c>
      <c r="E25" s="7" t="s">
        <v>60</v>
      </c>
      <c r="F25" t="s">
        <v>91</v>
      </c>
      <c r="H25" t="s">
        <v>25</v>
      </c>
      <c r="I25" t="s">
        <v>23</v>
      </c>
      <c r="J25">
        <v>60</v>
      </c>
      <c r="K25" t="s">
        <v>27</v>
      </c>
      <c r="L25">
        <v>5.6</v>
      </c>
      <c r="M25">
        <v>5.6</v>
      </c>
      <c r="N25" t="s">
        <v>150</v>
      </c>
      <c r="O25">
        <v>0.1</v>
      </c>
      <c r="P25">
        <v>18</v>
      </c>
      <c r="Q25">
        <v>400</v>
      </c>
      <c r="S25" t="s">
        <v>86</v>
      </c>
    </row>
    <row r="26" spans="1:19" x14ac:dyDescent="0.2">
      <c r="A26" t="s">
        <v>11</v>
      </c>
      <c r="B26" s="8" t="s">
        <v>187</v>
      </c>
      <c r="C26" t="s">
        <v>19</v>
      </c>
      <c r="D26" s="7" t="s">
        <v>59</v>
      </c>
      <c r="E26" s="7" t="s">
        <v>60</v>
      </c>
      <c r="F26" t="s">
        <v>92</v>
      </c>
      <c r="H26" t="s">
        <v>25</v>
      </c>
      <c r="I26" t="s">
        <v>23</v>
      </c>
      <c r="J26">
        <v>60</v>
      </c>
      <c r="K26" t="s">
        <v>27</v>
      </c>
      <c r="L26">
        <v>5.6</v>
      </c>
      <c r="M26">
        <v>5.6</v>
      </c>
      <c r="N26" t="s">
        <v>150</v>
      </c>
      <c r="O26">
        <v>0.1</v>
      </c>
      <c r="P26">
        <v>18</v>
      </c>
      <c r="Q26">
        <v>400</v>
      </c>
      <c r="S26" t="s">
        <v>86</v>
      </c>
    </row>
    <row r="27" spans="1:19" x14ac:dyDescent="0.2">
      <c r="A27" t="s">
        <v>11</v>
      </c>
      <c r="B27" s="8" t="s">
        <v>188</v>
      </c>
      <c r="C27" t="s">
        <v>19</v>
      </c>
      <c r="D27" s="7" t="s">
        <v>59</v>
      </c>
      <c r="E27" s="7" t="s">
        <v>60</v>
      </c>
      <c r="F27" t="s">
        <v>93</v>
      </c>
      <c r="H27" t="s">
        <v>25</v>
      </c>
      <c r="I27" t="s">
        <v>23</v>
      </c>
      <c r="J27">
        <v>80</v>
      </c>
      <c r="K27" t="s">
        <v>27</v>
      </c>
      <c r="L27">
        <v>5.6</v>
      </c>
      <c r="M27">
        <v>5.6</v>
      </c>
      <c r="N27" t="s">
        <v>150</v>
      </c>
      <c r="O27">
        <v>0.1</v>
      </c>
      <c r="P27">
        <v>18</v>
      </c>
      <c r="Q27">
        <v>400</v>
      </c>
      <c r="S27" t="s">
        <v>86</v>
      </c>
    </row>
    <row r="28" spans="1:19" x14ac:dyDescent="0.2">
      <c r="A28" t="s">
        <v>11</v>
      </c>
      <c r="B28" s="8" t="s">
        <v>189</v>
      </c>
      <c r="C28" t="s">
        <v>19</v>
      </c>
      <c r="D28" s="7" t="s">
        <v>59</v>
      </c>
      <c r="E28" s="7" t="s">
        <v>60</v>
      </c>
      <c r="F28" t="s">
        <v>94</v>
      </c>
      <c r="H28" t="s">
        <v>25</v>
      </c>
      <c r="I28" t="s">
        <v>23</v>
      </c>
      <c r="J28">
        <v>80</v>
      </c>
      <c r="K28" t="s">
        <v>27</v>
      </c>
      <c r="L28">
        <v>5.6</v>
      </c>
      <c r="M28">
        <v>5.6</v>
      </c>
      <c r="N28" t="s">
        <v>150</v>
      </c>
      <c r="O28">
        <v>0.1</v>
      </c>
      <c r="P28">
        <v>18</v>
      </c>
      <c r="Q28">
        <v>400</v>
      </c>
      <c r="S28" t="s">
        <v>86</v>
      </c>
    </row>
    <row r="29" spans="1:19" x14ac:dyDescent="0.2">
      <c r="A29" t="s">
        <v>11</v>
      </c>
      <c r="B29" s="8" t="s">
        <v>190</v>
      </c>
      <c r="C29" t="s">
        <v>19</v>
      </c>
      <c r="D29" s="7" t="s">
        <v>59</v>
      </c>
      <c r="E29" s="7" t="s">
        <v>60</v>
      </c>
      <c r="F29" t="s">
        <v>96</v>
      </c>
      <c r="H29" t="s">
        <v>25</v>
      </c>
      <c r="I29" t="s">
        <v>23</v>
      </c>
      <c r="J29">
        <v>50</v>
      </c>
      <c r="K29" t="s">
        <v>27</v>
      </c>
      <c r="L29">
        <v>5.6</v>
      </c>
      <c r="M29">
        <v>5.6</v>
      </c>
      <c r="N29" t="s">
        <v>150</v>
      </c>
      <c r="O29">
        <v>0.1</v>
      </c>
      <c r="P29">
        <v>18</v>
      </c>
      <c r="Q29">
        <v>400</v>
      </c>
      <c r="S29" t="s">
        <v>95</v>
      </c>
    </row>
    <row r="30" spans="1:19" x14ac:dyDescent="0.2">
      <c r="A30" t="s">
        <v>11</v>
      </c>
      <c r="B30" s="8" t="s">
        <v>191</v>
      </c>
      <c r="C30" t="s">
        <v>19</v>
      </c>
      <c r="D30" s="7" t="s">
        <v>59</v>
      </c>
      <c r="E30" s="7" t="s">
        <v>60</v>
      </c>
      <c r="F30" t="s">
        <v>97</v>
      </c>
      <c r="H30" t="s">
        <v>25</v>
      </c>
      <c r="I30" t="s">
        <v>23</v>
      </c>
      <c r="J30">
        <v>50</v>
      </c>
      <c r="K30" t="s">
        <v>27</v>
      </c>
      <c r="L30">
        <v>5.6</v>
      </c>
      <c r="M30">
        <v>5.6</v>
      </c>
      <c r="N30" t="s">
        <v>150</v>
      </c>
      <c r="O30">
        <v>0.1</v>
      </c>
      <c r="P30">
        <v>18</v>
      </c>
      <c r="Q30">
        <v>400</v>
      </c>
      <c r="S30" t="s">
        <v>95</v>
      </c>
    </row>
    <row r="31" spans="1:19" x14ac:dyDescent="0.2">
      <c r="A31" t="s">
        <v>11</v>
      </c>
      <c r="B31" s="8" t="s">
        <v>192</v>
      </c>
      <c r="C31" t="s">
        <v>19</v>
      </c>
      <c r="D31" s="7" t="s">
        <v>59</v>
      </c>
      <c r="E31" s="7" t="s">
        <v>60</v>
      </c>
      <c r="F31" t="s">
        <v>98</v>
      </c>
      <c r="H31" t="s">
        <v>25</v>
      </c>
      <c r="I31" t="s">
        <v>23</v>
      </c>
      <c r="J31">
        <v>60</v>
      </c>
      <c r="K31" t="s">
        <v>27</v>
      </c>
      <c r="L31">
        <v>5.6</v>
      </c>
      <c r="M31">
        <v>5.6</v>
      </c>
      <c r="N31" t="s">
        <v>150</v>
      </c>
      <c r="O31">
        <v>0.1</v>
      </c>
      <c r="P31">
        <v>18</v>
      </c>
      <c r="Q31">
        <v>400</v>
      </c>
      <c r="S31" t="s">
        <v>95</v>
      </c>
    </row>
    <row r="32" spans="1:19" x14ac:dyDescent="0.2">
      <c r="A32" t="s">
        <v>11</v>
      </c>
      <c r="B32" s="8" t="s">
        <v>193</v>
      </c>
      <c r="C32" t="s">
        <v>19</v>
      </c>
      <c r="D32" s="7" t="s">
        <v>59</v>
      </c>
      <c r="E32" s="7" t="s">
        <v>60</v>
      </c>
      <c r="F32" t="s">
        <v>99</v>
      </c>
      <c r="H32" t="s">
        <v>25</v>
      </c>
      <c r="I32" t="s">
        <v>23</v>
      </c>
      <c r="J32">
        <v>60</v>
      </c>
      <c r="K32" t="s">
        <v>27</v>
      </c>
      <c r="L32">
        <v>5.6</v>
      </c>
      <c r="M32">
        <v>5.6</v>
      </c>
      <c r="N32" t="s">
        <v>150</v>
      </c>
      <c r="O32">
        <v>0.1</v>
      </c>
      <c r="P32">
        <v>18</v>
      </c>
      <c r="Q32">
        <v>400</v>
      </c>
      <c r="S32" t="s">
        <v>95</v>
      </c>
    </row>
    <row r="33" spans="1:19" x14ac:dyDescent="0.2">
      <c r="A33" t="s">
        <v>11</v>
      </c>
      <c r="B33" s="8" t="s">
        <v>194</v>
      </c>
      <c r="C33" t="s">
        <v>19</v>
      </c>
      <c r="D33" s="7" t="s">
        <v>59</v>
      </c>
      <c r="E33" s="7" t="s">
        <v>60</v>
      </c>
      <c r="F33" t="s">
        <v>100</v>
      </c>
      <c r="H33" t="s">
        <v>25</v>
      </c>
      <c r="I33" t="s">
        <v>23</v>
      </c>
      <c r="J33">
        <v>80</v>
      </c>
      <c r="K33" t="s">
        <v>27</v>
      </c>
      <c r="L33">
        <v>5.6</v>
      </c>
      <c r="M33">
        <v>5.6</v>
      </c>
      <c r="N33" t="s">
        <v>150</v>
      </c>
      <c r="O33">
        <v>0.1</v>
      </c>
      <c r="P33">
        <v>18</v>
      </c>
      <c r="Q33">
        <v>400</v>
      </c>
      <c r="S33" t="s">
        <v>95</v>
      </c>
    </row>
    <row r="34" spans="1:19" x14ac:dyDescent="0.2">
      <c r="A34" t="s">
        <v>11</v>
      </c>
      <c r="B34" s="8" t="s">
        <v>195</v>
      </c>
      <c r="C34" t="s">
        <v>19</v>
      </c>
      <c r="D34" s="7" t="s">
        <v>59</v>
      </c>
      <c r="E34" s="7" t="s">
        <v>60</v>
      </c>
      <c r="F34" t="s">
        <v>101</v>
      </c>
      <c r="H34" t="s">
        <v>25</v>
      </c>
      <c r="I34" t="s">
        <v>23</v>
      </c>
      <c r="J34">
        <v>80</v>
      </c>
      <c r="K34" t="s">
        <v>27</v>
      </c>
      <c r="L34">
        <v>5.6</v>
      </c>
      <c r="M34">
        <v>5.6</v>
      </c>
      <c r="N34" t="s">
        <v>150</v>
      </c>
      <c r="O34">
        <v>0.1</v>
      </c>
      <c r="P34">
        <v>18</v>
      </c>
      <c r="Q34">
        <v>400</v>
      </c>
      <c r="S34" t="s">
        <v>95</v>
      </c>
    </row>
    <row r="35" spans="1:19" x14ac:dyDescent="0.2">
      <c r="A35" t="s">
        <v>11</v>
      </c>
      <c r="B35" s="8" t="s">
        <v>196</v>
      </c>
      <c r="C35" t="s">
        <v>19</v>
      </c>
      <c r="D35" s="7" t="s">
        <v>59</v>
      </c>
      <c r="E35" s="7" t="s">
        <v>60</v>
      </c>
      <c r="F35" t="s">
        <v>102</v>
      </c>
      <c r="H35" t="s">
        <v>25</v>
      </c>
      <c r="I35" t="s">
        <v>23</v>
      </c>
      <c r="J35">
        <v>20</v>
      </c>
      <c r="K35" t="s">
        <v>27</v>
      </c>
      <c r="L35">
        <v>5.6</v>
      </c>
      <c r="M35">
        <v>5.6</v>
      </c>
      <c r="N35" t="s">
        <v>150</v>
      </c>
      <c r="O35">
        <v>0.1</v>
      </c>
      <c r="P35">
        <v>53</v>
      </c>
      <c r="Q35">
        <v>400</v>
      </c>
      <c r="S35" t="s">
        <v>2</v>
      </c>
    </row>
    <row r="36" spans="1:19" x14ac:dyDescent="0.2">
      <c r="A36" t="s">
        <v>11</v>
      </c>
      <c r="B36" s="8" t="s">
        <v>197</v>
      </c>
      <c r="C36" t="s">
        <v>19</v>
      </c>
      <c r="D36" s="7" t="s">
        <v>59</v>
      </c>
      <c r="E36" s="7" t="s">
        <v>60</v>
      </c>
      <c r="F36" t="s">
        <v>103</v>
      </c>
      <c r="H36" t="s">
        <v>25</v>
      </c>
      <c r="I36" t="s">
        <v>23</v>
      </c>
      <c r="J36">
        <v>40</v>
      </c>
      <c r="K36" t="s">
        <v>27</v>
      </c>
      <c r="L36">
        <v>5.6</v>
      </c>
      <c r="M36">
        <v>5.6</v>
      </c>
      <c r="N36" t="s">
        <v>150</v>
      </c>
      <c r="O36">
        <v>0.1</v>
      </c>
      <c r="P36">
        <v>53</v>
      </c>
      <c r="Q36">
        <v>400</v>
      </c>
      <c r="S36" t="s">
        <v>2</v>
      </c>
    </row>
    <row r="37" spans="1:19" x14ac:dyDescent="0.2">
      <c r="A37" t="s">
        <v>11</v>
      </c>
      <c r="B37" s="8" t="s">
        <v>198</v>
      </c>
      <c r="C37" t="s">
        <v>19</v>
      </c>
      <c r="D37" s="7" t="s">
        <v>59</v>
      </c>
      <c r="E37" s="7" t="s">
        <v>60</v>
      </c>
      <c r="F37" t="s">
        <v>105</v>
      </c>
      <c r="H37" t="s">
        <v>25</v>
      </c>
      <c r="I37" t="s">
        <v>23</v>
      </c>
      <c r="J37">
        <v>20</v>
      </c>
      <c r="K37" t="s">
        <v>27</v>
      </c>
      <c r="L37">
        <v>5.6</v>
      </c>
      <c r="M37">
        <v>5.6</v>
      </c>
      <c r="N37" t="s">
        <v>150</v>
      </c>
      <c r="O37">
        <v>0.1</v>
      </c>
      <c r="P37">
        <v>53</v>
      </c>
      <c r="Q37">
        <v>400</v>
      </c>
      <c r="S37" t="s">
        <v>3</v>
      </c>
    </row>
    <row r="38" spans="1:19" x14ac:dyDescent="0.2">
      <c r="A38" t="s">
        <v>11</v>
      </c>
      <c r="B38" s="8" t="s">
        <v>199</v>
      </c>
      <c r="C38" t="s">
        <v>19</v>
      </c>
      <c r="D38" s="7" t="s">
        <v>59</v>
      </c>
      <c r="E38" s="7" t="s">
        <v>60</v>
      </c>
      <c r="F38" t="s">
        <v>104</v>
      </c>
      <c r="H38" t="s">
        <v>25</v>
      </c>
      <c r="I38" t="s">
        <v>23</v>
      </c>
      <c r="J38">
        <v>40</v>
      </c>
      <c r="K38" t="s">
        <v>27</v>
      </c>
      <c r="L38">
        <v>5.6</v>
      </c>
      <c r="M38">
        <v>5.6</v>
      </c>
      <c r="N38" t="s">
        <v>150</v>
      </c>
      <c r="O38">
        <v>0.1</v>
      </c>
      <c r="P38">
        <v>53</v>
      </c>
      <c r="Q38">
        <v>400</v>
      </c>
      <c r="S38" t="s">
        <v>3</v>
      </c>
    </row>
    <row r="39" spans="1:19" x14ac:dyDescent="0.2">
      <c r="A39" t="s">
        <v>11</v>
      </c>
      <c r="B39" s="8" t="s">
        <v>200</v>
      </c>
      <c r="C39" t="s">
        <v>19</v>
      </c>
      <c r="D39" s="7" t="s">
        <v>59</v>
      </c>
      <c r="E39" s="7" t="s">
        <v>60</v>
      </c>
      <c r="F39" t="s">
        <v>106</v>
      </c>
      <c r="H39" t="s">
        <v>25</v>
      </c>
      <c r="I39" t="s">
        <v>23</v>
      </c>
      <c r="J39">
        <v>30</v>
      </c>
      <c r="K39" t="s">
        <v>27</v>
      </c>
      <c r="L39">
        <v>5.6</v>
      </c>
      <c r="M39">
        <v>5.6</v>
      </c>
      <c r="N39" t="s">
        <v>150</v>
      </c>
      <c r="O39">
        <v>0.1</v>
      </c>
      <c r="P39">
        <v>53</v>
      </c>
      <c r="Q39">
        <v>400</v>
      </c>
      <c r="S39" t="s">
        <v>4</v>
      </c>
    </row>
    <row r="40" spans="1:19" x14ac:dyDescent="0.2">
      <c r="A40" t="s">
        <v>11</v>
      </c>
      <c r="B40" s="8" t="s">
        <v>201</v>
      </c>
      <c r="C40" t="s">
        <v>19</v>
      </c>
      <c r="D40" s="7" t="s">
        <v>59</v>
      </c>
      <c r="E40" s="7" t="s">
        <v>60</v>
      </c>
      <c r="F40" t="s">
        <v>107</v>
      </c>
      <c r="H40" t="s">
        <v>25</v>
      </c>
      <c r="I40" t="s">
        <v>23</v>
      </c>
      <c r="J40">
        <v>40</v>
      </c>
      <c r="K40" t="s">
        <v>27</v>
      </c>
      <c r="L40">
        <v>5.6</v>
      </c>
      <c r="M40">
        <v>5.6</v>
      </c>
      <c r="N40" t="s">
        <v>150</v>
      </c>
      <c r="O40">
        <v>0.1</v>
      </c>
      <c r="P40">
        <v>53</v>
      </c>
      <c r="Q40">
        <v>400</v>
      </c>
      <c r="S40" t="s">
        <v>4</v>
      </c>
    </row>
    <row r="41" spans="1:19" x14ac:dyDescent="0.2">
      <c r="A41" t="s">
        <v>11</v>
      </c>
      <c r="B41" s="8" t="s">
        <v>202</v>
      </c>
      <c r="C41" t="s">
        <v>19</v>
      </c>
      <c r="D41" s="7" t="s">
        <v>59</v>
      </c>
      <c r="E41" s="7" t="s">
        <v>60</v>
      </c>
      <c r="F41" t="s">
        <v>109</v>
      </c>
      <c r="H41" t="s">
        <v>25</v>
      </c>
      <c r="I41" t="s">
        <v>23</v>
      </c>
      <c r="J41">
        <v>20</v>
      </c>
      <c r="K41" t="s">
        <v>27</v>
      </c>
      <c r="L41">
        <v>5.6</v>
      </c>
      <c r="M41">
        <v>5.6</v>
      </c>
      <c r="N41" t="s">
        <v>150</v>
      </c>
      <c r="O41">
        <v>0.1</v>
      </c>
      <c r="P41">
        <v>53</v>
      </c>
      <c r="Q41">
        <v>400</v>
      </c>
      <c r="S41" t="s">
        <v>108</v>
      </c>
    </row>
    <row r="42" spans="1:19" x14ac:dyDescent="0.2">
      <c r="A42" t="s">
        <v>11</v>
      </c>
      <c r="B42" s="8" t="s">
        <v>203</v>
      </c>
      <c r="C42" t="s">
        <v>19</v>
      </c>
      <c r="D42" s="7" t="s">
        <v>59</v>
      </c>
      <c r="E42" s="7" t="s">
        <v>60</v>
      </c>
      <c r="F42" t="s">
        <v>110</v>
      </c>
      <c r="H42" t="s">
        <v>25</v>
      </c>
      <c r="I42" t="s">
        <v>23</v>
      </c>
      <c r="J42">
        <v>20</v>
      </c>
      <c r="K42" t="s">
        <v>27</v>
      </c>
      <c r="L42">
        <v>5.6</v>
      </c>
      <c r="M42">
        <v>5.6</v>
      </c>
      <c r="N42" t="s">
        <v>150</v>
      </c>
      <c r="O42">
        <v>0.1</v>
      </c>
      <c r="P42">
        <v>53</v>
      </c>
      <c r="Q42">
        <v>400</v>
      </c>
      <c r="S42" t="s">
        <v>108</v>
      </c>
    </row>
    <row r="43" spans="1:19" x14ac:dyDescent="0.2">
      <c r="A43" t="s">
        <v>11</v>
      </c>
      <c r="B43" s="8" t="s">
        <v>204</v>
      </c>
      <c r="C43" t="s">
        <v>19</v>
      </c>
      <c r="D43" s="7" t="s">
        <v>59</v>
      </c>
      <c r="E43" s="7" t="s">
        <v>60</v>
      </c>
      <c r="F43" t="s">
        <v>111</v>
      </c>
      <c r="H43" t="s">
        <v>25</v>
      </c>
      <c r="I43" t="s">
        <v>23</v>
      </c>
      <c r="J43">
        <v>30</v>
      </c>
      <c r="K43" t="s">
        <v>27</v>
      </c>
      <c r="L43">
        <v>5.6</v>
      </c>
      <c r="M43">
        <v>5.6</v>
      </c>
      <c r="N43" t="s">
        <v>150</v>
      </c>
      <c r="O43">
        <v>0.1</v>
      </c>
      <c r="P43">
        <v>53</v>
      </c>
      <c r="Q43">
        <v>400</v>
      </c>
      <c r="S43" t="s">
        <v>108</v>
      </c>
    </row>
    <row r="44" spans="1:19" x14ac:dyDescent="0.2">
      <c r="A44" t="s">
        <v>11</v>
      </c>
      <c r="B44" s="8" t="s">
        <v>205</v>
      </c>
      <c r="C44" t="s">
        <v>19</v>
      </c>
      <c r="D44" s="7" t="s">
        <v>59</v>
      </c>
      <c r="E44" s="7" t="s">
        <v>60</v>
      </c>
      <c r="F44" t="s">
        <v>112</v>
      </c>
      <c r="H44" t="s">
        <v>25</v>
      </c>
      <c r="I44" t="s">
        <v>23</v>
      </c>
      <c r="J44">
        <v>30</v>
      </c>
      <c r="K44" t="s">
        <v>27</v>
      </c>
      <c r="L44">
        <v>5.6</v>
      </c>
      <c r="M44">
        <v>5.6</v>
      </c>
      <c r="N44" t="s">
        <v>150</v>
      </c>
      <c r="O44">
        <v>0.1</v>
      </c>
      <c r="P44">
        <v>53</v>
      </c>
      <c r="Q44">
        <v>400</v>
      </c>
      <c r="S44" t="s">
        <v>108</v>
      </c>
    </row>
    <row r="45" spans="1:19" x14ac:dyDescent="0.2">
      <c r="A45" t="s">
        <v>11</v>
      </c>
      <c r="B45" s="8" t="s">
        <v>206</v>
      </c>
      <c r="C45" t="s">
        <v>19</v>
      </c>
      <c r="D45" s="7" t="s">
        <v>59</v>
      </c>
      <c r="E45" s="7" t="s">
        <v>60</v>
      </c>
      <c r="F45" t="s">
        <v>113</v>
      </c>
      <c r="H45" t="s">
        <v>25</v>
      </c>
      <c r="I45" t="s">
        <v>23</v>
      </c>
      <c r="J45">
        <v>40</v>
      </c>
      <c r="K45" t="s">
        <v>27</v>
      </c>
      <c r="L45">
        <v>5.6</v>
      </c>
      <c r="M45">
        <v>5.6</v>
      </c>
      <c r="N45" t="s">
        <v>150</v>
      </c>
      <c r="O45">
        <v>0.1</v>
      </c>
      <c r="P45">
        <v>53</v>
      </c>
      <c r="Q45">
        <v>400</v>
      </c>
      <c r="S45" t="s">
        <v>108</v>
      </c>
    </row>
    <row r="46" spans="1:19" x14ac:dyDescent="0.2">
      <c r="A46" t="s">
        <v>11</v>
      </c>
      <c r="B46" s="8" t="s">
        <v>207</v>
      </c>
      <c r="C46" t="s">
        <v>19</v>
      </c>
      <c r="D46" s="7" t="s">
        <v>59</v>
      </c>
      <c r="E46" s="7" t="s">
        <v>60</v>
      </c>
      <c r="F46" t="s">
        <v>115</v>
      </c>
      <c r="H46" t="s">
        <v>25</v>
      </c>
      <c r="I46" t="s">
        <v>23</v>
      </c>
      <c r="J46">
        <v>10</v>
      </c>
      <c r="K46" t="s">
        <v>27</v>
      </c>
      <c r="L46">
        <v>5.6</v>
      </c>
      <c r="M46">
        <v>5.6</v>
      </c>
      <c r="N46" t="s">
        <v>150</v>
      </c>
      <c r="O46">
        <v>0.1</v>
      </c>
      <c r="P46">
        <v>18</v>
      </c>
      <c r="Q46">
        <v>400</v>
      </c>
      <c r="S46" t="s">
        <v>114</v>
      </c>
    </row>
    <row r="47" spans="1:19" x14ac:dyDescent="0.2">
      <c r="A47" t="s">
        <v>11</v>
      </c>
      <c r="B47" s="8" t="s">
        <v>208</v>
      </c>
      <c r="C47" t="s">
        <v>19</v>
      </c>
      <c r="D47" s="7" t="s">
        <v>59</v>
      </c>
      <c r="E47" s="7" t="s">
        <v>60</v>
      </c>
      <c r="F47" t="s">
        <v>116</v>
      </c>
      <c r="H47" t="s">
        <v>25</v>
      </c>
      <c r="I47" t="s">
        <v>23</v>
      </c>
      <c r="J47">
        <v>10</v>
      </c>
      <c r="K47" t="s">
        <v>27</v>
      </c>
      <c r="L47">
        <v>5.6</v>
      </c>
      <c r="M47">
        <v>5.6</v>
      </c>
      <c r="N47" t="s">
        <v>150</v>
      </c>
      <c r="O47">
        <v>0.1</v>
      </c>
      <c r="P47">
        <v>18</v>
      </c>
      <c r="Q47">
        <v>400</v>
      </c>
      <c r="S47" t="s">
        <v>114</v>
      </c>
    </row>
    <row r="48" spans="1:19" x14ac:dyDescent="0.2">
      <c r="A48" t="s">
        <v>11</v>
      </c>
      <c r="B48" s="8" t="s">
        <v>209</v>
      </c>
      <c r="C48" t="s">
        <v>19</v>
      </c>
      <c r="D48" s="7" t="s">
        <v>59</v>
      </c>
      <c r="E48" s="7" t="s">
        <v>60</v>
      </c>
      <c r="F48" t="s">
        <v>117</v>
      </c>
      <c r="H48" t="s">
        <v>25</v>
      </c>
      <c r="I48" t="s">
        <v>23</v>
      </c>
      <c r="J48">
        <v>10</v>
      </c>
      <c r="K48" t="s">
        <v>27</v>
      </c>
      <c r="L48">
        <v>5.6</v>
      </c>
      <c r="M48">
        <v>5.6</v>
      </c>
      <c r="N48" t="s">
        <v>150</v>
      </c>
      <c r="O48">
        <v>0.1</v>
      </c>
      <c r="P48">
        <v>18</v>
      </c>
      <c r="Q48">
        <v>400</v>
      </c>
      <c r="S48" t="s">
        <v>114</v>
      </c>
    </row>
    <row r="49" spans="1:19" x14ac:dyDescent="0.2">
      <c r="A49" t="s">
        <v>11</v>
      </c>
      <c r="B49" s="8" t="s">
        <v>210</v>
      </c>
      <c r="C49" t="s">
        <v>19</v>
      </c>
      <c r="D49" s="7" t="s">
        <v>59</v>
      </c>
      <c r="E49" s="7" t="s">
        <v>60</v>
      </c>
      <c r="F49" t="s">
        <v>118</v>
      </c>
      <c r="H49" t="s">
        <v>25</v>
      </c>
      <c r="I49" t="s">
        <v>23</v>
      </c>
      <c r="J49">
        <v>15</v>
      </c>
      <c r="K49" t="s">
        <v>27</v>
      </c>
      <c r="L49">
        <v>5.6</v>
      </c>
      <c r="M49">
        <v>5.6</v>
      </c>
      <c r="N49" t="s">
        <v>150</v>
      </c>
      <c r="O49">
        <v>0.1</v>
      </c>
      <c r="P49">
        <v>18</v>
      </c>
      <c r="Q49">
        <v>400</v>
      </c>
      <c r="S49" t="s">
        <v>114</v>
      </c>
    </row>
    <row r="50" spans="1:19" x14ac:dyDescent="0.2">
      <c r="A50" t="s">
        <v>11</v>
      </c>
      <c r="B50" s="8" t="s">
        <v>211</v>
      </c>
      <c r="C50" t="s">
        <v>19</v>
      </c>
      <c r="D50" s="7" t="s">
        <v>59</v>
      </c>
      <c r="E50" s="7" t="s">
        <v>60</v>
      </c>
      <c r="F50" t="s">
        <v>119</v>
      </c>
      <c r="H50" t="s">
        <v>25</v>
      </c>
      <c r="I50" t="s">
        <v>23</v>
      </c>
      <c r="J50">
        <v>15</v>
      </c>
      <c r="K50" t="s">
        <v>27</v>
      </c>
      <c r="L50">
        <v>5.6</v>
      </c>
      <c r="M50">
        <v>5.6</v>
      </c>
      <c r="N50" t="s">
        <v>150</v>
      </c>
      <c r="O50">
        <v>0.1</v>
      </c>
      <c r="P50">
        <v>18</v>
      </c>
      <c r="Q50">
        <v>400</v>
      </c>
      <c r="S50" t="s">
        <v>114</v>
      </c>
    </row>
    <row r="51" spans="1:19" x14ac:dyDescent="0.2">
      <c r="A51" t="s">
        <v>11</v>
      </c>
      <c r="B51" s="8" t="s">
        <v>212</v>
      </c>
      <c r="C51" t="s">
        <v>19</v>
      </c>
      <c r="D51" s="7" t="s">
        <v>59</v>
      </c>
      <c r="E51" s="7" t="s">
        <v>60</v>
      </c>
      <c r="F51" t="s">
        <v>120</v>
      </c>
      <c r="H51" t="s">
        <v>25</v>
      </c>
      <c r="I51" t="s">
        <v>23</v>
      </c>
      <c r="J51">
        <v>25</v>
      </c>
      <c r="K51" t="s">
        <v>27</v>
      </c>
      <c r="L51">
        <v>5.6</v>
      </c>
      <c r="M51">
        <v>5.6</v>
      </c>
      <c r="N51" t="s">
        <v>150</v>
      </c>
      <c r="O51">
        <v>0.1</v>
      </c>
      <c r="P51">
        <v>18</v>
      </c>
      <c r="Q51">
        <v>400</v>
      </c>
      <c r="S51" t="s">
        <v>114</v>
      </c>
    </row>
    <row r="52" spans="1:19" x14ac:dyDescent="0.2">
      <c r="A52" t="s">
        <v>11</v>
      </c>
      <c r="B52" s="8" t="s">
        <v>213</v>
      </c>
      <c r="C52" t="s">
        <v>19</v>
      </c>
      <c r="D52" s="7" t="s">
        <v>59</v>
      </c>
      <c r="E52" s="7" t="s">
        <v>60</v>
      </c>
      <c r="F52" t="s">
        <v>121</v>
      </c>
      <c r="H52" t="s">
        <v>25</v>
      </c>
      <c r="I52" t="s">
        <v>23</v>
      </c>
      <c r="J52">
        <v>25</v>
      </c>
      <c r="K52" t="s">
        <v>27</v>
      </c>
      <c r="L52">
        <v>5.6</v>
      </c>
      <c r="M52">
        <v>5.6</v>
      </c>
      <c r="N52" t="s">
        <v>150</v>
      </c>
      <c r="O52">
        <v>0.1</v>
      </c>
      <c r="P52">
        <v>18</v>
      </c>
      <c r="Q52">
        <v>400</v>
      </c>
      <c r="S52" t="s">
        <v>114</v>
      </c>
    </row>
    <row r="53" spans="1:19" x14ac:dyDescent="0.2">
      <c r="A53" t="s">
        <v>11</v>
      </c>
      <c r="B53" s="8" t="s">
        <v>214</v>
      </c>
      <c r="C53" t="s">
        <v>19</v>
      </c>
      <c r="D53" s="7" t="s">
        <v>59</v>
      </c>
      <c r="E53" s="7" t="s">
        <v>60</v>
      </c>
      <c r="F53" t="s">
        <v>123</v>
      </c>
      <c r="H53" t="s">
        <v>25</v>
      </c>
      <c r="I53" t="s">
        <v>23</v>
      </c>
      <c r="J53">
        <v>20</v>
      </c>
      <c r="K53" t="s">
        <v>27</v>
      </c>
      <c r="L53">
        <v>5.6</v>
      </c>
      <c r="M53">
        <v>5.6</v>
      </c>
      <c r="N53" t="s">
        <v>150</v>
      </c>
      <c r="O53">
        <v>0.1</v>
      </c>
      <c r="P53">
        <v>18</v>
      </c>
      <c r="Q53">
        <v>400</v>
      </c>
      <c r="S53" t="s">
        <v>122</v>
      </c>
    </row>
    <row r="54" spans="1:19" x14ac:dyDescent="0.2">
      <c r="A54" t="s">
        <v>11</v>
      </c>
      <c r="B54" s="8" t="s">
        <v>215</v>
      </c>
      <c r="C54" t="s">
        <v>19</v>
      </c>
      <c r="D54" s="7" t="s">
        <v>59</v>
      </c>
      <c r="E54" s="7" t="s">
        <v>60</v>
      </c>
      <c r="F54" t="s">
        <v>124</v>
      </c>
      <c r="H54" t="s">
        <v>25</v>
      </c>
      <c r="I54" t="s">
        <v>23</v>
      </c>
      <c r="J54">
        <v>30</v>
      </c>
      <c r="K54" t="s">
        <v>27</v>
      </c>
      <c r="L54">
        <v>5.6</v>
      </c>
      <c r="M54">
        <v>5.6</v>
      </c>
      <c r="N54" t="s">
        <v>150</v>
      </c>
      <c r="O54">
        <v>0.1</v>
      </c>
      <c r="P54">
        <v>18</v>
      </c>
      <c r="Q54">
        <v>400</v>
      </c>
      <c r="S54" t="s">
        <v>122</v>
      </c>
    </row>
    <row r="55" spans="1:19" x14ac:dyDescent="0.2">
      <c r="A55" t="s">
        <v>11</v>
      </c>
      <c r="B55" s="8" t="s">
        <v>216</v>
      </c>
      <c r="C55" t="s">
        <v>19</v>
      </c>
      <c r="D55" s="7" t="s">
        <v>59</v>
      </c>
      <c r="E55" s="7" t="s">
        <v>60</v>
      </c>
      <c r="F55" t="s">
        <v>125</v>
      </c>
      <c r="H55" t="s">
        <v>25</v>
      </c>
      <c r="I55" t="s">
        <v>23</v>
      </c>
      <c r="J55">
        <v>40</v>
      </c>
      <c r="K55" t="s">
        <v>27</v>
      </c>
      <c r="L55">
        <v>5.6</v>
      </c>
      <c r="M55">
        <v>5.6</v>
      </c>
      <c r="N55" t="s">
        <v>150</v>
      </c>
      <c r="O55">
        <v>0.1</v>
      </c>
      <c r="P55">
        <v>18</v>
      </c>
      <c r="Q55">
        <v>400</v>
      </c>
      <c r="S55" t="s">
        <v>122</v>
      </c>
    </row>
    <row r="56" spans="1:19" x14ac:dyDescent="0.2">
      <c r="A56" t="s">
        <v>11</v>
      </c>
      <c r="B56" s="8" t="s">
        <v>217</v>
      </c>
      <c r="C56" t="s">
        <v>19</v>
      </c>
      <c r="D56" s="7" t="s">
        <v>59</v>
      </c>
      <c r="E56" s="7" t="s">
        <v>60</v>
      </c>
      <c r="F56" t="s">
        <v>126</v>
      </c>
      <c r="H56" t="s">
        <v>25</v>
      </c>
      <c r="I56" t="s">
        <v>23</v>
      </c>
      <c r="J56">
        <v>50</v>
      </c>
      <c r="K56" t="s">
        <v>27</v>
      </c>
      <c r="L56">
        <v>5.6</v>
      </c>
      <c r="M56">
        <v>5.6</v>
      </c>
      <c r="N56" t="s">
        <v>150</v>
      </c>
      <c r="O56">
        <v>0.1</v>
      </c>
      <c r="P56">
        <v>18</v>
      </c>
      <c r="Q56">
        <v>400</v>
      </c>
      <c r="S56" t="s">
        <v>122</v>
      </c>
    </row>
    <row r="57" spans="1:19" x14ac:dyDescent="0.2">
      <c r="A57" t="s">
        <v>11</v>
      </c>
      <c r="B57" s="8" t="s">
        <v>218</v>
      </c>
      <c r="C57" t="s">
        <v>19</v>
      </c>
      <c r="D57" s="7" t="s">
        <v>59</v>
      </c>
      <c r="E57" s="7" t="s">
        <v>60</v>
      </c>
      <c r="F57" t="s">
        <v>127</v>
      </c>
      <c r="H57" t="s">
        <v>25</v>
      </c>
      <c r="I57" t="s">
        <v>23</v>
      </c>
      <c r="J57">
        <v>15</v>
      </c>
      <c r="K57" t="s">
        <v>27</v>
      </c>
      <c r="L57">
        <v>5.6</v>
      </c>
      <c r="M57">
        <v>5.6</v>
      </c>
      <c r="N57" t="s">
        <v>150</v>
      </c>
      <c r="O57">
        <v>0.1</v>
      </c>
      <c r="P57">
        <v>18</v>
      </c>
      <c r="Q57">
        <v>400</v>
      </c>
      <c r="S57" t="s">
        <v>5</v>
      </c>
    </row>
    <row r="58" spans="1:19" x14ac:dyDescent="0.2">
      <c r="A58" t="s">
        <v>11</v>
      </c>
      <c r="B58" s="8" t="s">
        <v>219</v>
      </c>
      <c r="C58" t="s">
        <v>19</v>
      </c>
      <c r="D58" s="7" t="s">
        <v>59</v>
      </c>
      <c r="E58" s="7" t="s">
        <v>60</v>
      </c>
      <c r="F58" t="s">
        <v>128</v>
      </c>
      <c r="H58" t="s">
        <v>25</v>
      </c>
      <c r="I58" t="s">
        <v>23</v>
      </c>
      <c r="J58">
        <v>80</v>
      </c>
      <c r="K58" t="s">
        <v>27</v>
      </c>
      <c r="L58">
        <v>5.6</v>
      </c>
      <c r="M58">
        <v>5.6</v>
      </c>
      <c r="N58" t="s">
        <v>150</v>
      </c>
      <c r="O58">
        <v>0.1</v>
      </c>
      <c r="P58">
        <v>18</v>
      </c>
      <c r="Q58">
        <v>400</v>
      </c>
      <c r="S58" t="s">
        <v>5</v>
      </c>
    </row>
    <row r="59" spans="1:19" x14ac:dyDescent="0.2">
      <c r="A59" t="s">
        <v>11</v>
      </c>
      <c r="B59" s="8" t="s">
        <v>220</v>
      </c>
      <c r="C59" t="s">
        <v>19</v>
      </c>
      <c r="D59" s="7" t="s">
        <v>59</v>
      </c>
      <c r="E59" s="7" t="s">
        <v>60</v>
      </c>
      <c r="F59" t="s">
        <v>130</v>
      </c>
      <c r="H59" t="s">
        <v>25</v>
      </c>
      <c r="I59" t="s">
        <v>23</v>
      </c>
      <c r="J59">
        <v>30</v>
      </c>
      <c r="K59" t="s">
        <v>27</v>
      </c>
      <c r="L59">
        <v>5.6</v>
      </c>
      <c r="M59">
        <v>5.6</v>
      </c>
      <c r="N59" t="s">
        <v>150</v>
      </c>
      <c r="O59">
        <v>0.1</v>
      </c>
      <c r="P59">
        <v>18</v>
      </c>
      <c r="Q59">
        <v>400</v>
      </c>
      <c r="S59" t="s">
        <v>129</v>
      </c>
    </row>
    <row r="60" spans="1:19" x14ac:dyDescent="0.2">
      <c r="A60" t="s">
        <v>11</v>
      </c>
      <c r="B60" s="8" t="s">
        <v>221</v>
      </c>
      <c r="C60" t="s">
        <v>19</v>
      </c>
      <c r="D60" s="7" t="s">
        <v>59</v>
      </c>
      <c r="E60" s="7" t="s">
        <v>60</v>
      </c>
      <c r="F60" t="s">
        <v>131</v>
      </c>
      <c r="H60" t="s">
        <v>25</v>
      </c>
      <c r="I60" t="s">
        <v>23</v>
      </c>
      <c r="J60">
        <v>50</v>
      </c>
      <c r="K60" t="s">
        <v>27</v>
      </c>
      <c r="L60">
        <v>5.6</v>
      </c>
      <c r="M60">
        <v>5.6</v>
      </c>
      <c r="N60" t="s">
        <v>150</v>
      </c>
      <c r="O60">
        <v>0.1</v>
      </c>
      <c r="P60">
        <v>18</v>
      </c>
      <c r="Q60">
        <v>400</v>
      </c>
      <c r="S60" t="s">
        <v>129</v>
      </c>
    </row>
    <row r="61" spans="1:19" x14ac:dyDescent="0.2">
      <c r="A61" t="s">
        <v>11</v>
      </c>
      <c r="B61" s="8" t="s">
        <v>222</v>
      </c>
      <c r="C61" t="s">
        <v>19</v>
      </c>
      <c r="D61" s="7" t="s">
        <v>59</v>
      </c>
      <c r="E61" s="7" t="s">
        <v>60</v>
      </c>
      <c r="F61" t="s">
        <v>132</v>
      </c>
      <c r="H61" t="s">
        <v>25</v>
      </c>
      <c r="I61" t="s">
        <v>23</v>
      </c>
      <c r="J61">
        <v>60</v>
      </c>
      <c r="K61" t="s">
        <v>27</v>
      </c>
      <c r="L61">
        <v>5.6</v>
      </c>
      <c r="M61">
        <v>5.6</v>
      </c>
      <c r="N61" t="s">
        <v>150</v>
      </c>
      <c r="O61">
        <v>0.1</v>
      </c>
      <c r="P61">
        <v>18</v>
      </c>
      <c r="Q61">
        <v>400</v>
      </c>
      <c r="S61" t="s">
        <v>129</v>
      </c>
    </row>
    <row r="62" spans="1:19" x14ac:dyDescent="0.2">
      <c r="A62" t="s">
        <v>11</v>
      </c>
      <c r="B62" s="8" t="s">
        <v>223</v>
      </c>
      <c r="C62" t="s">
        <v>19</v>
      </c>
      <c r="D62" s="7" t="s">
        <v>59</v>
      </c>
      <c r="E62" s="7" t="s">
        <v>60</v>
      </c>
      <c r="F62" t="s">
        <v>133</v>
      </c>
      <c r="H62" t="s">
        <v>25</v>
      </c>
      <c r="I62" t="s">
        <v>23</v>
      </c>
      <c r="J62">
        <v>80</v>
      </c>
      <c r="K62" t="s">
        <v>27</v>
      </c>
      <c r="L62">
        <v>5.6</v>
      </c>
      <c r="M62">
        <v>5.6</v>
      </c>
      <c r="N62" t="s">
        <v>150</v>
      </c>
      <c r="O62">
        <v>0.1</v>
      </c>
      <c r="P62">
        <v>18</v>
      </c>
      <c r="Q62">
        <v>400</v>
      </c>
      <c r="S62" t="s">
        <v>129</v>
      </c>
    </row>
    <row r="63" spans="1:19" x14ac:dyDescent="0.2">
      <c r="A63" t="s">
        <v>11</v>
      </c>
      <c r="B63" s="8" t="s">
        <v>224</v>
      </c>
      <c r="C63" t="s">
        <v>19</v>
      </c>
      <c r="D63" s="7" t="s">
        <v>59</v>
      </c>
      <c r="E63" s="7" t="s">
        <v>60</v>
      </c>
      <c r="F63" t="s">
        <v>135</v>
      </c>
      <c r="H63" t="s">
        <v>25</v>
      </c>
      <c r="I63" t="s">
        <v>23</v>
      </c>
      <c r="J63">
        <v>20</v>
      </c>
      <c r="K63" t="s">
        <v>27</v>
      </c>
      <c r="L63">
        <v>5.6</v>
      </c>
      <c r="M63">
        <v>5.6</v>
      </c>
      <c r="N63" t="s">
        <v>150</v>
      </c>
      <c r="O63">
        <v>0.1</v>
      </c>
      <c r="P63">
        <v>18</v>
      </c>
      <c r="Q63">
        <v>400</v>
      </c>
      <c r="S63" t="s">
        <v>134</v>
      </c>
    </row>
    <row r="64" spans="1:19" x14ac:dyDescent="0.2">
      <c r="A64" t="s">
        <v>11</v>
      </c>
      <c r="B64" s="8" t="s">
        <v>225</v>
      </c>
      <c r="C64" t="s">
        <v>19</v>
      </c>
      <c r="D64" s="7" t="s">
        <v>59</v>
      </c>
      <c r="E64" s="7" t="s">
        <v>60</v>
      </c>
      <c r="F64" t="s">
        <v>137</v>
      </c>
      <c r="H64" t="s">
        <v>25</v>
      </c>
      <c r="I64" t="s">
        <v>23</v>
      </c>
      <c r="J64">
        <v>15</v>
      </c>
      <c r="K64" t="s">
        <v>27</v>
      </c>
      <c r="L64">
        <v>5.6</v>
      </c>
      <c r="M64">
        <v>5.6</v>
      </c>
      <c r="N64" t="s">
        <v>150</v>
      </c>
      <c r="O64">
        <v>0.1</v>
      </c>
      <c r="P64">
        <v>18</v>
      </c>
      <c r="Q64">
        <v>400</v>
      </c>
      <c r="S64" t="s">
        <v>136</v>
      </c>
    </row>
    <row r="65" spans="1:19" x14ac:dyDescent="0.2">
      <c r="A65" t="s">
        <v>11</v>
      </c>
      <c r="B65" s="8" t="s">
        <v>226</v>
      </c>
      <c r="C65" t="s">
        <v>19</v>
      </c>
      <c r="D65" s="7" t="s">
        <v>59</v>
      </c>
      <c r="E65" s="7" t="s">
        <v>60</v>
      </c>
      <c r="F65" t="s">
        <v>138</v>
      </c>
      <c r="H65" t="s">
        <v>25</v>
      </c>
      <c r="I65" t="s">
        <v>23</v>
      </c>
      <c r="J65">
        <v>75</v>
      </c>
      <c r="K65" t="s">
        <v>27</v>
      </c>
      <c r="L65">
        <v>5.6</v>
      </c>
      <c r="M65">
        <v>5.6</v>
      </c>
      <c r="N65" t="s">
        <v>150</v>
      </c>
      <c r="O65">
        <v>0.1</v>
      </c>
      <c r="P65">
        <v>18</v>
      </c>
      <c r="Q65">
        <v>400</v>
      </c>
      <c r="S65" t="s">
        <v>136</v>
      </c>
    </row>
    <row r="66" spans="1:19" x14ac:dyDescent="0.2">
      <c r="A66" t="s">
        <v>11</v>
      </c>
      <c r="B66" s="8" t="s">
        <v>227</v>
      </c>
      <c r="C66" t="s">
        <v>19</v>
      </c>
      <c r="D66" s="7" t="s">
        <v>59</v>
      </c>
      <c r="E66" s="7" t="s">
        <v>60</v>
      </c>
      <c r="F66" t="s">
        <v>139</v>
      </c>
      <c r="H66" t="s">
        <v>25</v>
      </c>
      <c r="I66" t="s">
        <v>23</v>
      </c>
      <c r="J66">
        <v>80</v>
      </c>
      <c r="K66" t="s">
        <v>27</v>
      </c>
      <c r="L66">
        <v>5.6</v>
      </c>
      <c r="M66">
        <v>5.6</v>
      </c>
      <c r="N66" t="s">
        <v>150</v>
      </c>
      <c r="O66">
        <v>0.1</v>
      </c>
      <c r="P66">
        <v>18</v>
      </c>
      <c r="Q66">
        <v>400</v>
      </c>
      <c r="S66" t="s">
        <v>136</v>
      </c>
    </row>
    <row r="67" spans="1:19" x14ac:dyDescent="0.2">
      <c r="A67" t="s">
        <v>11</v>
      </c>
      <c r="B67" s="8" t="s">
        <v>228</v>
      </c>
      <c r="C67" t="s">
        <v>19</v>
      </c>
      <c r="D67" s="7" t="s">
        <v>59</v>
      </c>
      <c r="E67" s="7" t="s">
        <v>60</v>
      </c>
      <c r="F67" t="s">
        <v>141</v>
      </c>
      <c r="H67" t="s">
        <v>25</v>
      </c>
      <c r="I67" t="s">
        <v>23</v>
      </c>
      <c r="J67">
        <v>20</v>
      </c>
      <c r="K67" t="s">
        <v>27</v>
      </c>
      <c r="L67">
        <v>5.6</v>
      </c>
      <c r="M67">
        <v>5.6</v>
      </c>
      <c r="N67" t="s">
        <v>150</v>
      </c>
      <c r="O67">
        <v>0.1</v>
      </c>
      <c r="P67">
        <v>18</v>
      </c>
      <c r="Q67">
        <v>400</v>
      </c>
      <c r="S67" t="s">
        <v>140</v>
      </c>
    </row>
    <row r="68" spans="1:19" x14ac:dyDescent="0.2">
      <c r="A68" t="s">
        <v>11</v>
      </c>
      <c r="B68" s="8" t="s">
        <v>229</v>
      </c>
      <c r="C68" t="s">
        <v>19</v>
      </c>
      <c r="D68" s="7" t="s">
        <v>59</v>
      </c>
      <c r="E68" s="7" t="s">
        <v>60</v>
      </c>
      <c r="F68" t="s">
        <v>142</v>
      </c>
      <c r="H68" t="s">
        <v>25</v>
      </c>
      <c r="I68" t="s">
        <v>23</v>
      </c>
      <c r="J68">
        <v>20</v>
      </c>
      <c r="K68" t="s">
        <v>27</v>
      </c>
      <c r="L68">
        <v>5.6</v>
      </c>
      <c r="M68">
        <v>5.6</v>
      </c>
      <c r="N68" t="s">
        <v>150</v>
      </c>
      <c r="O68">
        <v>0.1</v>
      </c>
      <c r="P68">
        <v>18</v>
      </c>
      <c r="Q68">
        <v>400</v>
      </c>
      <c r="S68" t="s">
        <v>140</v>
      </c>
    </row>
    <row r="69" spans="1:19" x14ac:dyDescent="0.2">
      <c r="A69" t="s">
        <v>11</v>
      </c>
      <c r="B69" s="8" t="s">
        <v>230</v>
      </c>
      <c r="C69" t="s">
        <v>19</v>
      </c>
      <c r="D69" s="7" t="s">
        <v>59</v>
      </c>
      <c r="E69" s="7" t="s">
        <v>60</v>
      </c>
      <c r="F69" t="s">
        <v>143</v>
      </c>
      <c r="H69" t="s">
        <v>25</v>
      </c>
      <c r="I69" t="s">
        <v>23</v>
      </c>
      <c r="J69">
        <v>40</v>
      </c>
      <c r="K69" t="s">
        <v>27</v>
      </c>
      <c r="L69">
        <v>5.6</v>
      </c>
      <c r="M69">
        <v>5.6</v>
      </c>
      <c r="N69" t="s">
        <v>150</v>
      </c>
      <c r="O69">
        <v>0.1</v>
      </c>
      <c r="P69">
        <v>18</v>
      </c>
      <c r="Q69">
        <v>400</v>
      </c>
      <c r="S69" t="s">
        <v>140</v>
      </c>
    </row>
    <row r="70" spans="1:19" x14ac:dyDescent="0.2">
      <c r="A70" t="s">
        <v>11</v>
      </c>
      <c r="B70" s="8" t="s">
        <v>231</v>
      </c>
      <c r="C70" t="s">
        <v>19</v>
      </c>
      <c r="D70" s="7" t="s">
        <v>59</v>
      </c>
      <c r="E70" s="7" t="s">
        <v>60</v>
      </c>
      <c r="F70" t="s">
        <v>144</v>
      </c>
      <c r="H70" t="s">
        <v>25</v>
      </c>
      <c r="I70" t="s">
        <v>23</v>
      </c>
      <c r="J70">
        <v>50</v>
      </c>
      <c r="K70" t="s">
        <v>27</v>
      </c>
      <c r="L70">
        <v>5.6</v>
      </c>
      <c r="M70">
        <v>5.6</v>
      </c>
      <c r="N70" t="s">
        <v>150</v>
      </c>
      <c r="O70">
        <v>0.1</v>
      </c>
      <c r="P70">
        <v>18</v>
      </c>
      <c r="Q70">
        <v>400</v>
      </c>
      <c r="S70" t="s">
        <v>6</v>
      </c>
    </row>
    <row r="71" spans="1:19" x14ac:dyDescent="0.2">
      <c r="A71" t="s">
        <v>11</v>
      </c>
      <c r="B71" s="8" t="s">
        <v>232</v>
      </c>
      <c r="C71" t="s">
        <v>19</v>
      </c>
      <c r="D71" s="7" t="s">
        <v>59</v>
      </c>
      <c r="E71" s="7" t="s">
        <v>60</v>
      </c>
      <c r="F71" t="s">
        <v>146</v>
      </c>
      <c r="H71" t="s">
        <v>25</v>
      </c>
      <c r="I71" t="s">
        <v>23</v>
      </c>
      <c r="J71">
        <v>60</v>
      </c>
      <c r="K71" t="s">
        <v>27</v>
      </c>
      <c r="L71">
        <v>5.6</v>
      </c>
      <c r="M71">
        <v>5.6</v>
      </c>
      <c r="N71" t="s">
        <v>150</v>
      </c>
      <c r="O71">
        <v>0.1</v>
      </c>
      <c r="P71">
        <v>18</v>
      </c>
      <c r="Q71">
        <v>400</v>
      </c>
      <c r="S71" t="s">
        <v>6</v>
      </c>
    </row>
    <row r="72" spans="1:19" x14ac:dyDescent="0.2">
      <c r="A72" t="s">
        <v>11</v>
      </c>
      <c r="B72" s="8" t="s">
        <v>233</v>
      </c>
      <c r="C72" t="s">
        <v>19</v>
      </c>
      <c r="D72" s="7" t="s">
        <v>59</v>
      </c>
      <c r="E72" s="7" t="s">
        <v>60</v>
      </c>
      <c r="F72" t="s">
        <v>145</v>
      </c>
      <c r="H72" t="s">
        <v>25</v>
      </c>
      <c r="I72" t="s">
        <v>23</v>
      </c>
      <c r="J72">
        <v>75</v>
      </c>
      <c r="K72" t="s">
        <v>27</v>
      </c>
      <c r="L72">
        <v>5.6</v>
      </c>
      <c r="M72">
        <v>5.6</v>
      </c>
      <c r="N72" t="s">
        <v>150</v>
      </c>
      <c r="O72">
        <v>0.1</v>
      </c>
      <c r="P72">
        <v>18</v>
      </c>
      <c r="Q72">
        <v>400</v>
      </c>
      <c r="S72" t="s">
        <v>6</v>
      </c>
    </row>
    <row r="73" spans="1:19" x14ac:dyDescent="0.2">
      <c r="A73" t="s">
        <v>11</v>
      </c>
      <c r="B73" s="8" t="s">
        <v>234</v>
      </c>
      <c r="C73" t="s">
        <v>19</v>
      </c>
      <c r="D73" s="7" t="s">
        <v>59</v>
      </c>
      <c r="E73" s="7" t="s">
        <v>60</v>
      </c>
      <c r="F73" s="8" t="s">
        <v>152</v>
      </c>
      <c r="H73" t="s">
        <v>25</v>
      </c>
      <c r="I73" t="s">
        <v>23</v>
      </c>
      <c r="J73">
        <v>70</v>
      </c>
      <c r="K73" t="s">
        <v>27</v>
      </c>
      <c r="L73">
        <v>5.6</v>
      </c>
      <c r="M73">
        <v>5.6</v>
      </c>
      <c r="N73" t="s">
        <v>150</v>
      </c>
      <c r="O73">
        <v>0.1</v>
      </c>
      <c r="P73">
        <v>18</v>
      </c>
      <c r="Q73">
        <v>400</v>
      </c>
    </row>
    <row r="74" spans="1:19" x14ac:dyDescent="0.2">
      <c r="A74" t="s">
        <v>11</v>
      </c>
      <c r="B74" s="8" t="s">
        <v>235</v>
      </c>
      <c r="C74" t="s">
        <v>19</v>
      </c>
      <c r="D74" s="7" t="s">
        <v>59</v>
      </c>
      <c r="E74" s="7" t="s">
        <v>60</v>
      </c>
      <c r="F74" s="8" t="s">
        <v>153</v>
      </c>
      <c r="H74" t="s">
        <v>25</v>
      </c>
      <c r="I74" t="s">
        <v>23</v>
      </c>
      <c r="J74">
        <v>70</v>
      </c>
      <c r="K74" t="s">
        <v>27</v>
      </c>
      <c r="L74">
        <v>5.6</v>
      </c>
      <c r="M74">
        <v>5.6</v>
      </c>
      <c r="N74" t="s">
        <v>150</v>
      </c>
      <c r="O74">
        <v>0.1</v>
      </c>
      <c r="P74">
        <v>18</v>
      </c>
      <c r="Q74">
        <v>400</v>
      </c>
    </row>
    <row r="75" spans="1:19" x14ac:dyDescent="0.2">
      <c r="A75" t="s">
        <v>11</v>
      </c>
      <c r="B75" s="8" t="s">
        <v>236</v>
      </c>
      <c r="C75" t="s">
        <v>19</v>
      </c>
      <c r="D75" s="7" t="s">
        <v>59</v>
      </c>
      <c r="E75" s="7" t="s">
        <v>60</v>
      </c>
      <c r="F75" s="8" t="s">
        <v>154</v>
      </c>
      <c r="H75" t="s">
        <v>25</v>
      </c>
      <c r="I75" t="s">
        <v>23</v>
      </c>
      <c r="J75">
        <v>70</v>
      </c>
      <c r="K75" t="s">
        <v>27</v>
      </c>
      <c r="L75">
        <v>5.6</v>
      </c>
      <c r="M75">
        <v>5.6</v>
      </c>
      <c r="N75" t="s">
        <v>150</v>
      </c>
      <c r="O75">
        <v>0.1</v>
      </c>
      <c r="P75">
        <v>18</v>
      </c>
      <c r="Q75">
        <v>400</v>
      </c>
    </row>
    <row r="76" spans="1:19" x14ac:dyDescent="0.2">
      <c r="A76" t="s">
        <v>11</v>
      </c>
      <c r="B76" s="8" t="s">
        <v>237</v>
      </c>
      <c r="C76" t="s">
        <v>19</v>
      </c>
      <c r="D76" s="7" t="s">
        <v>59</v>
      </c>
      <c r="E76" s="7" t="s">
        <v>60</v>
      </c>
      <c r="F76" s="8" t="s">
        <v>155</v>
      </c>
      <c r="H76" t="s">
        <v>25</v>
      </c>
      <c r="I76" t="s">
        <v>23</v>
      </c>
      <c r="J76">
        <v>70</v>
      </c>
      <c r="K76" t="s">
        <v>27</v>
      </c>
      <c r="L76">
        <v>5.6</v>
      </c>
      <c r="M76">
        <v>5.6</v>
      </c>
      <c r="N76" t="s">
        <v>150</v>
      </c>
      <c r="O76">
        <v>0.1</v>
      </c>
      <c r="P76">
        <v>18</v>
      </c>
      <c r="Q76">
        <v>400</v>
      </c>
    </row>
    <row r="77" spans="1:19" x14ac:dyDescent="0.2">
      <c r="A77" t="s">
        <v>11</v>
      </c>
      <c r="B77" s="8" t="s">
        <v>238</v>
      </c>
      <c r="C77" t="s">
        <v>19</v>
      </c>
      <c r="D77" s="7" t="s">
        <v>59</v>
      </c>
      <c r="E77" s="7" t="s">
        <v>60</v>
      </c>
      <c r="F77" s="8" t="s">
        <v>156</v>
      </c>
      <c r="H77" t="s">
        <v>25</v>
      </c>
      <c r="I77" t="s">
        <v>23</v>
      </c>
      <c r="J77">
        <v>70</v>
      </c>
      <c r="K77" t="s">
        <v>27</v>
      </c>
      <c r="L77">
        <v>5.6</v>
      </c>
      <c r="M77">
        <v>5.6</v>
      </c>
      <c r="N77" t="s">
        <v>150</v>
      </c>
      <c r="O77">
        <v>0.1</v>
      </c>
      <c r="P77">
        <v>90</v>
      </c>
      <c r="Q77">
        <v>400</v>
      </c>
    </row>
    <row r="78" spans="1:19" x14ac:dyDescent="0.2">
      <c r="A78" t="s">
        <v>11</v>
      </c>
      <c r="B78" s="8" t="s">
        <v>239</v>
      </c>
      <c r="C78" t="s">
        <v>19</v>
      </c>
      <c r="D78" s="7" t="s">
        <v>59</v>
      </c>
      <c r="E78" s="7" t="s">
        <v>60</v>
      </c>
      <c r="F78" s="8" t="s">
        <v>157</v>
      </c>
      <c r="H78" t="s">
        <v>25</v>
      </c>
      <c r="I78" t="s">
        <v>23</v>
      </c>
      <c r="J78">
        <v>70</v>
      </c>
      <c r="K78" t="s">
        <v>27</v>
      </c>
      <c r="L78">
        <v>5.6</v>
      </c>
      <c r="M78">
        <v>5.6</v>
      </c>
      <c r="N78" t="s">
        <v>150</v>
      </c>
      <c r="O78">
        <v>0.1</v>
      </c>
      <c r="P78">
        <v>90</v>
      </c>
      <c r="Q78">
        <v>400</v>
      </c>
    </row>
    <row r="79" spans="1:19" x14ac:dyDescent="0.2">
      <c r="A79" t="s">
        <v>11</v>
      </c>
      <c r="B79" s="8" t="s">
        <v>240</v>
      </c>
      <c r="C79" t="s">
        <v>19</v>
      </c>
      <c r="D79" s="7" t="s">
        <v>59</v>
      </c>
      <c r="E79" s="7" t="s">
        <v>60</v>
      </c>
      <c r="F79" s="8" t="s">
        <v>158</v>
      </c>
      <c r="H79" t="s">
        <v>25</v>
      </c>
      <c r="I79" t="s">
        <v>23</v>
      </c>
      <c r="J79">
        <v>70</v>
      </c>
      <c r="K79" t="s">
        <v>27</v>
      </c>
      <c r="L79">
        <v>5.6</v>
      </c>
      <c r="M79">
        <v>5.6</v>
      </c>
      <c r="N79" t="s">
        <v>150</v>
      </c>
      <c r="O79">
        <v>0.1</v>
      </c>
      <c r="P79">
        <v>18</v>
      </c>
      <c r="Q79">
        <v>400</v>
      </c>
    </row>
    <row r="80" spans="1:19" x14ac:dyDescent="0.2">
      <c r="A80" t="s">
        <v>11</v>
      </c>
      <c r="B80" s="8" t="s">
        <v>241</v>
      </c>
      <c r="C80" t="s">
        <v>19</v>
      </c>
      <c r="D80" s="7" t="s">
        <v>59</v>
      </c>
      <c r="E80" s="7" t="s">
        <v>60</v>
      </c>
      <c r="F80" s="8" t="s">
        <v>159</v>
      </c>
      <c r="H80" t="s">
        <v>25</v>
      </c>
      <c r="I80" t="s">
        <v>23</v>
      </c>
      <c r="J80">
        <v>70</v>
      </c>
      <c r="K80" t="s">
        <v>27</v>
      </c>
      <c r="L80">
        <v>5.6</v>
      </c>
      <c r="M80">
        <v>5.6</v>
      </c>
      <c r="N80" t="s">
        <v>150</v>
      </c>
      <c r="O80">
        <v>0.1</v>
      </c>
      <c r="P80">
        <v>18</v>
      </c>
      <c r="Q80">
        <v>400</v>
      </c>
    </row>
    <row r="81" spans="1:19" x14ac:dyDescent="0.2">
      <c r="A81" t="s">
        <v>11</v>
      </c>
      <c r="B81" s="8" t="s">
        <v>242</v>
      </c>
      <c r="C81" t="s">
        <v>19</v>
      </c>
      <c r="D81" s="7" t="s">
        <v>59</v>
      </c>
      <c r="E81" s="7" t="s">
        <v>60</v>
      </c>
      <c r="F81" t="s">
        <v>160</v>
      </c>
      <c r="H81" t="s">
        <v>25</v>
      </c>
      <c r="I81" t="s">
        <v>23</v>
      </c>
      <c r="J81">
        <v>70</v>
      </c>
      <c r="K81" t="s">
        <v>27</v>
      </c>
      <c r="L81">
        <v>5.6</v>
      </c>
      <c r="M81">
        <v>5.6</v>
      </c>
      <c r="N81" t="s">
        <v>150</v>
      </c>
      <c r="O81">
        <v>0.1</v>
      </c>
      <c r="P81">
        <v>53</v>
      </c>
      <c r="Q81">
        <v>400</v>
      </c>
    </row>
    <row r="82" spans="1:19" x14ac:dyDescent="0.2">
      <c r="A82" t="s">
        <v>11</v>
      </c>
      <c r="B82" s="8" t="s">
        <v>243</v>
      </c>
      <c r="C82" t="s">
        <v>19</v>
      </c>
      <c r="D82" s="7" t="s">
        <v>59</v>
      </c>
      <c r="E82" s="7" t="s">
        <v>60</v>
      </c>
      <c r="F82" t="s">
        <v>161</v>
      </c>
      <c r="H82" t="s">
        <v>25</v>
      </c>
      <c r="I82" t="s">
        <v>23</v>
      </c>
      <c r="J82">
        <v>70</v>
      </c>
      <c r="K82" t="s">
        <v>27</v>
      </c>
      <c r="L82">
        <v>5.6</v>
      </c>
      <c r="M82">
        <v>5.6</v>
      </c>
      <c r="N82" t="s">
        <v>150</v>
      </c>
      <c r="O82">
        <v>0.1</v>
      </c>
      <c r="P82">
        <v>53</v>
      </c>
      <c r="Q82">
        <v>400</v>
      </c>
    </row>
    <row r="83" spans="1:19" x14ac:dyDescent="0.2">
      <c r="A83" t="s">
        <v>11</v>
      </c>
      <c r="B83" s="8" t="s">
        <v>244</v>
      </c>
      <c r="C83" t="s">
        <v>19</v>
      </c>
      <c r="D83" s="7" t="s">
        <v>59</v>
      </c>
      <c r="E83" s="7" t="s">
        <v>60</v>
      </c>
      <c r="F83" t="s">
        <v>162</v>
      </c>
      <c r="H83" t="s">
        <v>25</v>
      </c>
      <c r="I83" t="s">
        <v>23</v>
      </c>
      <c r="J83">
        <v>70</v>
      </c>
      <c r="K83" t="s">
        <v>27</v>
      </c>
      <c r="L83">
        <v>5.6</v>
      </c>
      <c r="M83">
        <v>5.6</v>
      </c>
      <c r="N83" t="s">
        <v>150</v>
      </c>
      <c r="O83">
        <v>0.1</v>
      </c>
      <c r="P83">
        <v>53</v>
      </c>
      <c r="Q83">
        <v>400</v>
      </c>
    </row>
    <row r="84" spans="1:19" x14ac:dyDescent="0.2">
      <c r="A84" t="s">
        <v>13</v>
      </c>
      <c r="B84" s="8" t="s">
        <v>347</v>
      </c>
      <c r="C84" t="s">
        <v>19</v>
      </c>
      <c r="D84" s="7" t="s">
        <v>59</v>
      </c>
      <c r="E84" s="7" t="s">
        <v>60</v>
      </c>
      <c r="F84" s="9" t="s">
        <v>247</v>
      </c>
      <c r="H84" t="s">
        <v>245</v>
      </c>
      <c r="I84" t="s">
        <v>23</v>
      </c>
      <c r="J84">
        <v>20</v>
      </c>
      <c r="K84" t="s">
        <v>27</v>
      </c>
      <c r="L84">
        <v>5.6</v>
      </c>
      <c r="M84">
        <v>5.6</v>
      </c>
      <c r="N84" t="s">
        <v>150</v>
      </c>
      <c r="O84">
        <v>0.1</v>
      </c>
      <c r="P84">
        <v>20</v>
      </c>
      <c r="Q84">
        <v>600</v>
      </c>
      <c r="S84" t="s">
        <v>246</v>
      </c>
    </row>
    <row r="85" spans="1:19" x14ac:dyDescent="0.2">
      <c r="A85" t="s">
        <v>13</v>
      </c>
      <c r="B85" s="8" t="s">
        <v>348</v>
      </c>
      <c r="C85" t="s">
        <v>19</v>
      </c>
      <c r="D85" s="7" t="s">
        <v>59</v>
      </c>
      <c r="E85" s="7" t="s">
        <v>60</v>
      </c>
      <c r="F85" t="s">
        <v>249</v>
      </c>
      <c r="H85" t="s">
        <v>245</v>
      </c>
      <c r="I85" t="s">
        <v>23</v>
      </c>
      <c r="J85">
        <v>20</v>
      </c>
      <c r="K85" t="s">
        <v>27</v>
      </c>
      <c r="L85">
        <v>5.6</v>
      </c>
      <c r="M85">
        <v>5.6</v>
      </c>
      <c r="N85" t="s">
        <v>150</v>
      </c>
      <c r="O85">
        <v>0.1</v>
      </c>
      <c r="P85">
        <v>20</v>
      </c>
      <c r="Q85">
        <v>600</v>
      </c>
      <c r="S85" t="s">
        <v>248</v>
      </c>
    </row>
    <row r="86" spans="1:19" x14ac:dyDescent="0.2">
      <c r="A86" t="s">
        <v>13</v>
      </c>
      <c r="B86" s="8" t="s">
        <v>349</v>
      </c>
      <c r="C86" t="s">
        <v>19</v>
      </c>
      <c r="D86" s="7" t="s">
        <v>59</v>
      </c>
      <c r="E86" s="7" t="s">
        <v>60</v>
      </c>
      <c r="F86" t="s">
        <v>250</v>
      </c>
      <c r="H86" t="s">
        <v>245</v>
      </c>
      <c r="I86" t="s">
        <v>23</v>
      </c>
      <c r="J86">
        <v>40</v>
      </c>
      <c r="K86" t="s">
        <v>27</v>
      </c>
      <c r="L86">
        <v>5.6</v>
      </c>
      <c r="M86">
        <v>5.6</v>
      </c>
      <c r="N86" t="s">
        <v>150</v>
      </c>
      <c r="O86">
        <v>0.1</v>
      </c>
      <c r="P86">
        <v>20</v>
      </c>
      <c r="Q86">
        <v>600</v>
      </c>
      <c r="S86" t="s">
        <v>248</v>
      </c>
    </row>
    <row r="87" spans="1:19" x14ac:dyDescent="0.2">
      <c r="A87" t="s">
        <v>13</v>
      </c>
      <c r="B87" s="8" t="s">
        <v>350</v>
      </c>
      <c r="C87" t="s">
        <v>19</v>
      </c>
      <c r="D87" s="7" t="s">
        <v>59</v>
      </c>
      <c r="E87" s="7" t="s">
        <v>60</v>
      </c>
      <c r="F87" t="s">
        <v>252</v>
      </c>
      <c r="H87" t="s">
        <v>245</v>
      </c>
      <c r="I87" t="s">
        <v>23</v>
      </c>
      <c r="J87">
        <v>20</v>
      </c>
      <c r="K87" t="s">
        <v>27</v>
      </c>
      <c r="L87">
        <v>5.6</v>
      </c>
      <c r="M87">
        <v>5.6</v>
      </c>
      <c r="N87" t="s">
        <v>150</v>
      </c>
      <c r="O87">
        <v>0.1</v>
      </c>
      <c r="P87">
        <v>20</v>
      </c>
      <c r="Q87">
        <v>600</v>
      </c>
      <c r="S87" t="s">
        <v>251</v>
      </c>
    </row>
    <row r="88" spans="1:19" x14ac:dyDescent="0.2">
      <c r="A88" t="s">
        <v>13</v>
      </c>
      <c r="B88" s="8" t="s">
        <v>351</v>
      </c>
      <c r="C88" t="s">
        <v>19</v>
      </c>
      <c r="D88" s="7" t="s">
        <v>59</v>
      </c>
      <c r="E88" s="7" t="s">
        <v>60</v>
      </c>
      <c r="F88" t="s">
        <v>256</v>
      </c>
      <c r="H88" t="s">
        <v>245</v>
      </c>
      <c r="I88" t="s">
        <v>23</v>
      </c>
      <c r="J88">
        <v>30</v>
      </c>
      <c r="K88" t="s">
        <v>27</v>
      </c>
      <c r="L88">
        <v>5.6</v>
      </c>
      <c r="M88">
        <v>5.6</v>
      </c>
      <c r="N88" t="s">
        <v>150</v>
      </c>
      <c r="O88">
        <v>0.1</v>
      </c>
      <c r="P88">
        <v>20</v>
      </c>
      <c r="Q88">
        <v>600</v>
      </c>
      <c r="S88" t="s">
        <v>253</v>
      </c>
    </row>
    <row r="89" spans="1:19" x14ac:dyDescent="0.2">
      <c r="A89" t="s">
        <v>13</v>
      </c>
      <c r="B89" s="8" t="s">
        <v>352</v>
      </c>
      <c r="C89" t="s">
        <v>19</v>
      </c>
      <c r="D89" s="7" t="s">
        <v>59</v>
      </c>
      <c r="E89" s="7" t="s">
        <v>60</v>
      </c>
      <c r="F89" t="s">
        <v>257</v>
      </c>
      <c r="H89" t="s">
        <v>245</v>
      </c>
      <c r="I89" t="s">
        <v>23</v>
      </c>
      <c r="J89">
        <v>30</v>
      </c>
      <c r="K89" t="s">
        <v>27</v>
      </c>
      <c r="L89">
        <v>5.6</v>
      </c>
      <c r="M89">
        <v>5.6</v>
      </c>
      <c r="N89" t="s">
        <v>150</v>
      </c>
      <c r="O89">
        <v>0.1</v>
      </c>
      <c r="P89">
        <v>20</v>
      </c>
      <c r="Q89">
        <v>600</v>
      </c>
      <c r="S89" t="s">
        <v>253</v>
      </c>
    </row>
    <row r="90" spans="1:19" x14ac:dyDescent="0.2">
      <c r="A90" t="s">
        <v>13</v>
      </c>
      <c r="B90" s="8" t="s">
        <v>353</v>
      </c>
      <c r="C90" t="s">
        <v>19</v>
      </c>
      <c r="D90" s="7" t="s">
        <v>59</v>
      </c>
      <c r="E90" s="7" t="s">
        <v>60</v>
      </c>
      <c r="F90" t="s">
        <v>255</v>
      </c>
      <c r="H90" t="s">
        <v>245</v>
      </c>
      <c r="I90" t="s">
        <v>23</v>
      </c>
      <c r="J90">
        <v>75</v>
      </c>
      <c r="K90" t="s">
        <v>27</v>
      </c>
      <c r="L90">
        <v>5.6</v>
      </c>
      <c r="M90">
        <v>5.6</v>
      </c>
      <c r="N90" t="s">
        <v>150</v>
      </c>
      <c r="O90">
        <v>0.1</v>
      </c>
      <c r="P90">
        <v>20</v>
      </c>
      <c r="Q90">
        <v>600</v>
      </c>
      <c r="S90" t="s">
        <v>253</v>
      </c>
    </row>
    <row r="91" spans="1:19" x14ac:dyDescent="0.2">
      <c r="A91" t="s">
        <v>13</v>
      </c>
      <c r="B91" s="8" t="s">
        <v>354</v>
      </c>
      <c r="C91" t="s">
        <v>19</v>
      </c>
      <c r="D91" s="7" t="s">
        <v>59</v>
      </c>
      <c r="E91" s="7" t="s">
        <v>60</v>
      </c>
      <c r="F91" t="s">
        <v>254</v>
      </c>
      <c r="H91" t="s">
        <v>245</v>
      </c>
      <c r="I91" t="s">
        <v>23</v>
      </c>
      <c r="J91">
        <v>80</v>
      </c>
      <c r="K91" t="s">
        <v>27</v>
      </c>
      <c r="L91">
        <v>5.6</v>
      </c>
      <c r="M91">
        <v>5.6</v>
      </c>
      <c r="N91" t="s">
        <v>150</v>
      </c>
      <c r="O91">
        <v>0.1</v>
      </c>
      <c r="P91">
        <v>20</v>
      </c>
      <c r="Q91">
        <v>600</v>
      </c>
      <c r="S91" t="s">
        <v>253</v>
      </c>
    </row>
    <row r="92" spans="1:19" x14ac:dyDescent="0.2">
      <c r="A92" t="s">
        <v>13</v>
      </c>
      <c r="B92" s="8" t="s">
        <v>355</v>
      </c>
      <c r="C92" t="s">
        <v>19</v>
      </c>
      <c r="D92" s="7" t="s">
        <v>59</v>
      </c>
      <c r="E92" s="7" t="s">
        <v>60</v>
      </c>
      <c r="F92" s="9" t="s">
        <v>259</v>
      </c>
      <c r="H92" t="s">
        <v>245</v>
      </c>
      <c r="I92" t="s">
        <v>23</v>
      </c>
      <c r="J92">
        <v>15</v>
      </c>
      <c r="K92" t="s">
        <v>27</v>
      </c>
      <c r="L92">
        <v>5.6</v>
      </c>
      <c r="M92">
        <v>5.6</v>
      </c>
      <c r="N92" t="s">
        <v>150</v>
      </c>
      <c r="O92">
        <v>0.1</v>
      </c>
      <c r="P92">
        <v>20</v>
      </c>
      <c r="Q92">
        <v>600</v>
      </c>
      <c r="S92" t="s">
        <v>258</v>
      </c>
    </row>
    <row r="93" spans="1:19" x14ac:dyDescent="0.2">
      <c r="A93" t="s">
        <v>13</v>
      </c>
      <c r="B93" s="8" t="s">
        <v>356</v>
      </c>
      <c r="C93" t="s">
        <v>19</v>
      </c>
      <c r="D93" s="7" t="s">
        <v>59</v>
      </c>
      <c r="E93" s="7" t="s">
        <v>60</v>
      </c>
      <c r="F93" s="9" t="s">
        <v>260</v>
      </c>
      <c r="H93" t="s">
        <v>245</v>
      </c>
      <c r="I93" t="s">
        <v>23</v>
      </c>
      <c r="J93">
        <v>25</v>
      </c>
      <c r="K93" t="s">
        <v>27</v>
      </c>
      <c r="L93">
        <v>5.6</v>
      </c>
      <c r="M93">
        <v>5.6</v>
      </c>
      <c r="N93" t="s">
        <v>150</v>
      </c>
      <c r="O93">
        <v>0.1</v>
      </c>
      <c r="P93">
        <v>20</v>
      </c>
      <c r="Q93">
        <v>600</v>
      </c>
      <c r="S93" t="s">
        <v>258</v>
      </c>
    </row>
    <row r="94" spans="1:19" x14ac:dyDescent="0.2">
      <c r="A94" t="s">
        <v>13</v>
      </c>
      <c r="B94" s="8" t="s">
        <v>357</v>
      </c>
      <c r="C94" t="s">
        <v>19</v>
      </c>
      <c r="D94" s="7" t="s">
        <v>59</v>
      </c>
      <c r="E94" s="7" t="s">
        <v>60</v>
      </c>
      <c r="F94" s="9" t="s">
        <v>261</v>
      </c>
      <c r="H94" t="s">
        <v>245</v>
      </c>
      <c r="I94" t="s">
        <v>23</v>
      </c>
      <c r="J94">
        <v>30</v>
      </c>
      <c r="K94" t="s">
        <v>27</v>
      </c>
      <c r="L94">
        <v>5.6</v>
      </c>
      <c r="M94">
        <v>5.6</v>
      </c>
      <c r="N94" t="s">
        <v>150</v>
      </c>
      <c r="O94">
        <v>0.1</v>
      </c>
      <c r="P94">
        <v>20</v>
      </c>
      <c r="Q94">
        <v>600</v>
      </c>
      <c r="S94" t="s">
        <v>258</v>
      </c>
    </row>
    <row r="95" spans="1:19" x14ac:dyDescent="0.2">
      <c r="A95" t="s">
        <v>13</v>
      </c>
      <c r="B95" s="8" t="s">
        <v>358</v>
      </c>
      <c r="C95" t="s">
        <v>19</v>
      </c>
      <c r="D95" s="7" t="s">
        <v>59</v>
      </c>
      <c r="E95" s="7" t="s">
        <v>60</v>
      </c>
      <c r="F95" s="9" t="s">
        <v>262</v>
      </c>
      <c r="H95" t="s">
        <v>245</v>
      </c>
      <c r="I95" t="s">
        <v>23</v>
      </c>
      <c r="J95">
        <v>35</v>
      </c>
      <c r="K95" t="s">
        <v>27</v>
      </c>
      <c r="L95">
        <v>5.6</v>
      </c>
      <c r="M95">
        <v>5.6</v>
      </c>
      <c r="N95" t="s">
        <v>150</v>
      </c>
      <c r="O95">
        <v>0.1</v>
      </c>
      <c r="P95">
        <v>20</v>
      </c>
      <c r="Q95">
        <v>600</v>
      </c>
      <c r="S95" t="s">
        <v>258</v>
      </c>
    </row>
    <row r="96" spans="1:19" x14ac:dyDescent="0.2">
      <c r="A96" t="s">
        <v>13</v>
      </c>
      <c r="B96" s="8" t="s">
        <v>359</v>
      </c>
      <c r="C96" t="s">
        <v>19</v>
      </c>
      <c r="D96" s="7" t="s">
        <v>59</v>
      </c>
      <c r="E96" s="7" t="s">
        <v>60</v>
      </c>
      <c r="F96" s="9" t="s">
        <v>263</v>
      </c>
      <c r="H96" t="s">
        <v>245</v>
      </c>
      <c r="I96" t="s">
        <v>23</v>
      </c>
      <c r="J96">
        <v>40</v>
      </c>
      <c r="K96" t="s">
        <v>27</v>
      </c>
      <c r="L96">
        <v>5.6</v>
      </c>
      <c r="M96">
        <v>5.6</v>
      </c>
      <c r="N96" t="s">
        <v>150</v>
      </c>
      <c r="O96">
        <v>0.1</v>
      </c>
      <c r="P96">
        <v>20</v>
      </c>
      <c r="Q96">
        <v>600</v>
      </c>
      <c r="S96" t="s">
        <v>258</v>
      </c>
    </row>
    <row r="97" spans="1:19" x14ac:dyDescent="0.2">
      <c r="A97" t="s">
        <v>13</v>
      </c>
      <c r="B97" s="8" t="s">
        <v>360</v>
      </c>
      <c r="C97" t="s">
        <v>19</v>
      </c>
      <c r="D97" s="7" t="s">
        <v>59</v>
      </c>
      <c r="E97" s="7" t="s">
        <v>60</v>
      </c>
      <c r="F97" s="9" t="s">
        <v>264</v>
      </c>
      <c r="H97" t="s">
        <v>245</v>
      </c>
      <c r="I97" t="s">
        <v>23</v>
      </c>
      <c r="J97">
        <v>50</v>
      </c>
      <c r="K97" t="s">
        <v>27</v>
      </c>
      <c r="L97">
        <v>5.6</v>
      </c>
      <c r="M97">
        <v>5.6</v>
      </c>
      <c r="N97" t="s">
        <v>150</v>
      </c>
      <c r="O97">
        <v>0.1</v>
      </c>
      <c r="P97">
        <v>20</v>
      </c>
      <c r="Q97">
        <v>600</v>
      </c>
      <c r="S97" t="s">
        <v>258</v>
      </c>
    </row>
    <row r="98" spans="1:19" x14ac:dyDescent="0.2">
      <c r="A98" t="s">
        <v>13</v>
      </c>
      <c r="B98" s="8" t="s">
        <v>361</v>
      </c>
      <c r="C98" t="s">
        <v>19</v>
      </c>
      <c r="D98" s="7" t="s">
        <v>59</v>
      </c>
      <c r="E98" s="7" t="s">
        <v>60</v>
      </c>
      <c r="F98" s="9" t="s">
        <v>265</v>
      </c>
      <c r="H98" t="s">
        <v>245</v>
      </c>
      <c r="I98" t="s">
        <v>23</v>
      </c>
      <c r="J98">
        <v>60</v>
      </c>
      <c r="K98" t="s">
        <v>27</v>
      </c>
      <c r="L98">
        <v>5.6</v>
      </c>
      <c r="M98">
        <v>5.6</v>
      </c>
      <c r="N98" t="s">
        <v>150</v>
      </c>
      <c r="O98">
        <v>0.1</v>
      </c>
      <c r="P98">
        <v>20</v>
      </c>
      <c r="Q98">
        <v>600</v>
      </c>
      <c r="S98" t="s">
        <v>258</v>
      </c>
    </row>
    <row r="99" spans="1:19" x14ac:dyDescent="0.2">
      <c r="A99" t="s">
        <v>13</v>
      </c>
      <c r="B99" s="8" t="s">
        <v>362</v>
      </c>
      <c r="C99" t="s">
        <v>19</v>
      </c>
      <c r="D99" s="7" t="s">
        <v>59</v>
      </c>
      <c r="E99" s="7" t="s">
        <v>60</v>
      </c>
      <c r="F99" s="9" t="s">
        <v>266</v>
      </c>
      <c r="H99" t="s">
        <v>245</v>
      </c>
      <c r="I99" t="s">
        <v>23</v>
      </c>
      <c r="J99">
        <v>65</v>
      </c>
      <c r="K99" t="s">
        <v>27</v>
      </c>
      <c r="L99">
        <v>5.6</v>
      </c>
      <c r="M99">
        <v>5.6</v>
      </c>
      <c r="N99" t="s">
        <v>150</v>
      </c>
      <c r="O99">
        <v>0.1</v>
      </c>
      <c r="P99">
        <v>20</v>
      </c>
      <c r="Q99">
        <v>600</v>
      </c>
      <c r="S99" t="s">
        <v>258</v>
      </c>
    </row>
    <row r="100" spans="1:19" x14ac:dyDescent="0.2">
      <c r="A100" t="s">
        <v>13</v>
      </c>
      <c r="B100" s="8" t="s">
        <v>363</v>
      </c>
      <c r="C100" t="s">
        <v>19</v>
      </c>
      <c r="D100" s="7" t="s">
        <v>59</v>
      </c>
      <c r="E100" s="7" t="s">
        <v>60</v>
      </c>
      <c r="F100" s="9" t="s">
        <v>267</v>
      </c>
      <c r="H100" t="s">
        <v>245</v>
      </c>
      <c r="I100" t="s">
        <v>23</v>
      </c>
      <c r="J100">
        <v>75</v>
      </c>
      <c r="K100" t="s">
        <v>27</v>
      </c>
      <c r="L100">
        <v>5.6</v>
      </c>
      <c r="M100">
        <v>5.6</v>
      </c>
      <c r="N100" t="s">
        <v>150</v>
      </c>
      <c r="O100">
        <v>0.1</v>
      </c>
      <c r="P100">
        <v>20</v>
      </c>
      <c r="Q100">
        <v>600</v>
      </c>
      <c r="S100" t="s">
        <v>258</v>
      </c>
    </row>
    <row r="101" spans="1:19" x14ac:dyDescent="0.2">
      <c r="A101" t="s">
        <v>13</v>
      </c>
      <c r="B101" s="8" t="s">
        <v>364</v>
      </c>
      <c r="C101" t="s">
        <v>19</v>
      </c>
      <c r="D101" s="7" t="s">
        <v>59</v>
      </c>
      <c r="E101" s="7" t="s">
        <v>60</v>
      </c>
      <c r="F101" t="s">
        <v>269</v>
      </c>
      <c r="H101" t="s">
        <v>245</v>
      </c>
      <c r="I101" t="s">
        <v>23</v>
      </c>
      <c r="J101">
        <v>60</v>
      </c>
      <c r="K101" t="s">
        <v>27</v>
      </c>
      <c r="L101">
        <v>5.6</v>
      </c>
      <c r="M101">
        <v>5.6</v>
      </c>
      <c r="N101" t="s">
        <v>150</v>
      </c>
      <c r="O101">
        <v>0.1</v>
      </c>
      <c r="P101">
        <v>20</v>
      </c>
      <c r="Q101">
        <v>600</v>
      </c>
      <c r="S101" t="s">
        <v>268</v>
      </c>
    </row>
    <row r="102" spans="1:19" x14ac:dyDescent="0.2">
      <c r="A102" t="s">
        <v>13</v>
      </c>
      <c r="B102" s="8" t="s">
        <v>365</v>
      </c>
      <c r="C102" t="s">
        <v>19</v>
      </c>
      <c r="D102" s="7" t="s">
        <v>59</v>
      </c>
      <c r="E102" s="7" t="s">
        <v>60</v>
      </c>
      <c r="F102" s="9" t="s">
        <v>270</v>
      </c>
      <c r="H102" t="s">
        <v>245</v>
      </c>
      <c r="I102" t="s">
        <v>23</v>
      </c>
      <c r="J102">
        <v>80</v>
      </c>
      <c r="K102" t="s">
        <v>27</v>
      </c>
      <c r="L102">
        <v>5.6</v>
      </c>
      <c r="M102">
        <v>5.6</v>
      </c>
      <c r="N102" t="s">
        <v>150</v>
      </c>
      <c r="O102">
        <v>0.1</v>
      </c>
      <c r="P102">
        <v>20</v>
      </c>
      <c r="Q102">
        <v>600</v>
      </c>
      <c r="S102" t="s">
        <v>268</v>
      </c>
    </row>
    <row r="103" spans="1:19" x14ac:dyDescent="0.2">
      <c r="A103" t="s">
        <v>13</v>
      </c>
      <c r="B103" s="8" t="s">
        <v>366</v>
      </c>
      <c r="C103" t="s">
        <v>19</v>
      </c>
      <c r="D103" s="7" t="s">
        <v>59</v>
      </c>
      <c r="E103" s="7" t="s">
        <v>60</v>
      </c>
      <c r="F103" t="s">
        <v>271</v>
      </c>
      <c r="H103" t="s">
        <v>245</v>
      </c>
      <c r="I103" t="s">
        <v>23</v>
      </c>
      <c r="J103">
        <v>90</v>
      </c>
      <c r="K103" t="s">
        <v>27</v>
      </c>
      <c r="L103">
        <v>5.6</v>
      </c>
      <c r="M103">
        <v>5.6</v>
      </c>
      <c r="N103" t="s">
        <v>150</v>
      </c>
      <c r="O103">
        <v>0.1</v>
      </c>
      <c r="P103">
        <v>20</v>
      </c>
      <c r="Q103">
        <v>600</v>
      </c>
      <c r="S103" t="s">
        <v>268</v>
      </c>
    </row>
    <row r="104" spans="1:19" x14ac:dyDescent="0.2">
      <c r="A104" t="s">
        <v>13</v>
      </c>
      <c r="B104" s="8" t="s">
        <v>367</v>
      </c>
      <c r="C104" t="s">
        <v>19</v>
      </c>
      <c r="D104" s="7" t="s">
        <v>59</v>
      </c>
      <c r="E104" s="7" t="s">
        <v>60</v>
      </c>
      <c r="F104" t="s">
        <v>273</v>
      </c>
      <c r="H104" t="s">
        <v>245</v>
      </c>
      <c r="I104" t="s">
        <v>23</v>
      </c>
      <c r="J104">
        <v>15</v>
      </c>
      <c r="K104" t="s">
        <v>27</v>
      </c>
      <c r="L104">
        <v>5.6</v>
      </c>
      <c r="M104">
        <v>5.6</v>
      </c>
      <c r="N104" t="s">
        <v>150</v>
      </c>
      <c r="O104">
        <v>0.1</v>
      </c>
      <c r="P104">
        <v>20</v>
      </c>
      <c r="Q104">
        <v>600</v>
      </c>
      <c r="S104" t="s">
        <v>272</v>
      </c>
    </row>
    <row r="105" spans="1:19" x14ac:dyDescent="0.2">
      <c r="A105" t="s">
        <v>13</v>
      </c>
      <c r="B105" s="8" t="s">
        <v>368</v>
      </c>
      <c r="C105" t="s">
        <v>19</v>
      </c>
      <c r="D105" s="7" t="s">
        <v>59</v>
      </c>
      <c r="E105" s="7" t="s">
        <v>60</v>
      </c>
      <c r="F105" t="s">
        <v>274</v>
      </c>
      <c r="H105" t="s">
        <v>245</v>
      </c>
      <c r="I105" t="s">
        <v>23</v>
      </c>
      <c r="J105">
        <v>25</v>
      </c>
      <c r="K105" t="s">
        <v>27</v>
      </c>
      <c r="L105">
        <v>5.6</v>
      </c>
      <c r="M105">
        <v>5.6</v>
      </c>
      <c r="N105" t="s">
        <v>150</v>
      </c>
      <c r="O105">
        <v>0.1</v>
      </c>
      <c r="P105">
        <v>20</v>
      </c>
      <c r="Q105">
        <v>600</v>
      </c>
      <c r="S105" t="s">
        <v>272</v>
      </c>
    </row>
    <row r="106" spans="1:19" x14ac:dyDescent="0.2">
      <c r="A106" t="s">
        <v>13</v>
      </c>
      <c r="B106" s="8" t="s">
        <v>369</v>
      </c>
      <c r="C106" t="s">
        <v>19</v>
      </c>
      <c r="D106" s="7" t="s">
        <v>59</v>
      </c>
      <c r="E106" s="7" t="s">
        <v>60</v>
      </c>
      <c r="F106" t="s">
        <v>275</v>
      </c>
      <c r="H106" t="s">
        <v>245</v>
      </c>
      <c r="I106" t="s">
        <v>23</v>
      </c>
      <c r="J106">
        <v>30</v>
      </c>
      <c r="K106" t="s">
        <v>27</v>
      </c>
      <c r="L106">
        <v>5.6</v>
      </c>
      <c r="M106">
        <v>5.6</v>
      </c>
      <c r="N106" t="s">
        <v>150</v>
      </c>
      <c r="O106">
        <v>0.1</v>
      </c>
      <c r="P106">
        <v>20</v>
      </c>
      <c r="Q106">
        <v>600</v>
      </c>
      <c r="S106" t="s">
        <v>272</v>
      </c>
    </row>
    <row r="107" spans="1:19" x14ac:dyDescent="0.2">
      <c r="A107" t="s">
        <v>13</v>
      </c>
      <c r="B107" s="8" t="s">
        <v>370</v>
      </c>
      <c r="C107" t="s">
        <v>19</v>
      </c>
      <c r="D107" s="7" t="s">
        <v>59</v>
      </c>
      <c r="E107" s="7" t="s">
        <v>60</v>
      </c>
      <c r="F107" t="s">
        <v>276</v>
      </c>
      <c r="H107" t="s">
        <v>245</v>
      </c>
      <c r="I107" t="s">
        <v>23</v>
      </c>
      <c r="J107">
        <v>35</v>
      </c>
      <c r="K107" t="s">
        <v>27</v>
      </c>
      <c r="L107">
        <v>5.6</v>
      </c>
      <c r="M107">
        <v>5.6</v>
      </c>
      <c r="N107" t="s">
        <v>150</v>
      </c>
      <c r="O107">
        <v>0.1</v>
      </c>
      <c r="P107">
        <v>20</v>
      </c>
      <c r="Q107">
        <v>600</v>
      </c>
      <c r="S107" t="s">
        <v>272</v>
      </c>
    </row>
    <row r="108" spans="1:19" x14ac:dyDescent="0.2">
      <c r="A108" t="s">
        <v>13</v>
      </c>
      <c r="B108" s="8" t="s">
        <v>371</v>
      </c>
      <c r="C108" t="s">
        <v>19</v>
      </c>
      <c r="D108" s="7" t="s">
        <v>59</v>
      </c>
      <c r="E108" s="7" t="s">
        <v>60</v>
      </c>
      <c r="F108" t="s">
        <v>277</v>
      </c>
      <c r="H108" t="s">
        <v>245</v>
      </c>
      <c r="I108" t="s">
        <v>23</v>
      </c>
      <c r="J108">
        <v>35</v>
      </c>
      <c r="K108" t="s">
        <v>27</v>
      </c>
      <c r="L108">
        <v>5.6</v>
      </c>
      <c r="M108">
        <v>5.6</v>
      </c>
      <c r="N108" t="s">
        <v>150</v>
      </c>
      <c r="O108">
        <v>0.1</v>
      </c>
      <c r="P108">
        <v>20</v>
      </c>
      <c r="Q108">
        <v>600</v>
      </c>
      <c r="S108" t="s">
        <v>272</v>
      </c>
    </row>
    <row r="109" spans="1:19" x14ac:dyDescent="0.2">
      <c r="A109" t="s">
        <v>13</v>
      </c>
      <c r="B109" s="8" t="s">
        <v>372</v>
      </c>
      <c r="C109" t="s">
        <v>19</v>
      </c>
      <c r="D109" s="7" t="s">
        <v>59</v>
      </c>
      <c r="E109" s="7" t="s">
        <v>60</v>
      </c>
      <c r="F109" t="s">
        <v>278</v>
      </c>
      <c r="H109" t="s">
        <v>245</v>
      </c>
      <c r="I109" t="s">
        <v>23</v>
      </c>
      <c r="J109">
        <v>40</v>
      </c>
      <c r="K109" t="s">
        <v>27</v>
      </c>
      <c r="L109">
        <v>5.6</v>
      </c>
      <c r="M109">
        <v>5.6</v>
      </c>
      <c r="N109" t="s">
        <v>150</v>
      </c>
      <c r="O109">
        <v>0.1</v>
      </c>
      <c r="P109">
        <v>20</v>
      </c>
      <c r="Q109">
        <v>600</v>
      </c>
      <c r="S109" t="s">
        <v>272</v>
      </c>
    </row>
    <row r="110" spans="1:19" x14ac:dyDescent="0.2">
      <c r="A110" t="s">
        <v>13</v>
      </c>
      <c r="B110" s="8" t="s">
        <v>373</v>
      </c>
      <c r="C110" t="s">
        <v>19</v>
      </c>
      <c r="D110" s="7" t="s">
        <v>59</v>
      </c>
      <c r="E110" s="7" t="s">
        <v>60</v>
      </c>
      <c r="F110" t="s">
        <v>279</v>
      </c>
      <c r="H110" t="s">
        <v>245</v>
      </c>
      <c r="I110" t="s">
        <v>23</v>
      </c>
      <c r="J110">
        <v>50</v>
      </c>
      <c r="K110" t="s">
        <v>27</v>
      </c>
      <c r="L110">
        <v>5.6</v>
      </c>
      <c r="M110">
        <v>5.6</v>
      </c>
      <c r="N110" t="s">
        <v>150</v>
      </c>
      <c r="O110">
        <v>0.1</v>
      </c>
      <c r="P110">
        <v>20</v>
      </c>
      <c r="Q110">
        <v>600</v>
      </c>
      <c r="S110" t="s">
        <v>272</v>
      </c>
    </row>
    <row r="111" spans="1:19" x14ac:dyDescent="0.2">
      <c r="A111" t="s">
        <v>13</v>
      </c>
      <c r="B111" s="8" t="s">
        <v>374</v>
      </c>
      <c r="C111" t="s">
        <v>19</v>
      </c>
      <c r="D111" s="7" t="s">
        <v>59</v>
      </c>
      <c r="E111" s="7" t="s">
        <v>60</v>
      </c>
      <c r="F111" t="s">
        <v>280</v>
      </c>
      <c r="H111" t="s">
        <v>245</v>
      </c>
      <c r="I111" t="s">
        <v>23</v>
      </c>
      <c r="J111">
        <v>60</v>
      </c>
      <c r="K111" t="s">
        <v>27</v>
      </c>
      <c r="L111">
        <v>5.6</v>
      </c>
      <c r="M111">
        <v>5.6</v>
      </c>
      <c r="N111" t="s">
        <v>150</v>
      </c>
      <c r="O111">
        <v>0.1</v>
      </c>
      <c r="P111">
        <v>20</v>
      </c>
      <c r="Q111">
        <v>600</v>
      </c>
      <c r="S111" t="s">
        <v>272</v>
      </c>
    </row>
    <row r="112" spans="1:19" x14ac:dyDescent="0.2">
      <c r="A112" t="s">
        <v>13</v>
      </c>
      <c r="B112" s="8" t="s">
        <v>375</v>
      </c>
      <c r="C112" t="s">
        <v>19</v>
      </c>
      <c r="D112" s="7" t="s">
        <v>59</v>
      </c>
      <c r="E112" s="7" t="s">
        <v>60</v>
      </c>
      <c r="F112" t="s">
        <v>281</v>
      </c>
      <c r="H112" t="s">
        <v>245</v>
      </c>
      <c r="I112" t="s">
        <v>23</v>
      </c>
      <c r="J112">
        <v>65</v>
      </c>
      <c r="K112" t="s">
        <v>27</v>
      </c>
      <c r="L112">
        <v>5.6</v>
      </c>
      <c r="M112">
        <v>5.6</v>
      </c>
      <c r="N112" t="s">
        <v>150</v>
      </c>
      <c r="O112">
        <v>0.1</v>
      </c>
      <c r="P112">
        <v>20</v>
      </c>
      <c r="Q112">
        <v>600</v>
      </c>
      <c r="S112" t="s">
        <v>272</v>
      </c>
    </row>
    <row r="113" spans="1:19" x14ac:dyDescent="0.2">
      <c r="A113" t="s">
        <v>13</v>
      </c>
      <c r="B113" s="8" t="s">
        <v>376</v>
      </c>
      <c r="C113" t="s">
        <v>19</v>
      </c>
      <c r="D113" s="7" t="s">
        <v>59</v>
      </c>
      <c r="E113" s="7" t="s">
        <v>60</v>
      </c>
      <c r="F113" t="s">
        <v>282</v>
      </c>
      <c r="H113" t="s">
        <v>245</v>
      </c>
      <c r="I113" t="s">
        <v>23</v>
      </c>
      <c r="J113">
        <v>65</v>
      </c>
      <c r="K113" t="s">
        <v>27</v>
      </c>
      <c r="L113">
        <v>5.6</v>
      </c>
      <c r="M113">
        <v>5.6</v>
      </c>
      <c r="N113" t="s">
        <v>150</v>
      </c>
      <c r="O113">
        <v>0.1</v>
      </c>
      <c r="P113">
        <v>20</v>
      </c>
      <c r="Q113">
        <v>600</v>
      </c>
      <c r="S113" t="s">
        <v>272</v>
      </c>
    </row>
    <row r="114" spans="1:19" x14ac:dyDescent="0.2">
      <c r="A114" t="s">
        <v>13</v>
      </c>
      <c r="B114" s="8" t="s">
        <v>377</v>
      </c>
      <c r="C114" t="s">
        <v>315</v>
      </c>
      <c r="D114" s="7" t="s">
        <v>59</v>
      </c>
      <c r="E114" s="7" t="s">
        <v>60</v>
      </c>
      <c r="F114" t="s">
        <v>283</v>
      </c>
      <c r="H114" t="s">
        <v>245</v>
      </c>
      <c r="I114" t="s">
        <v>23</v>
      </c>
      <c r="J114">
        <v>90</v>
      </c>
      <c r="K114" t="s">
        <v>27</v>
      </c>
      <c r="L114">
        <v>5.6</v>
      </c>
      <c r="M114">
        <v>5.6</v>
      </c>
      <c r="N114" t="s">
        <v>150</v>
      </c>
      <c r="O114">
        <v>0.1</v>
      </c>
      <c r="P114">
        <v>20</v>
      </c>
      <c r="Q114">
        <v>600</v>
      </c>
      <c r="S114" t="s">
        <v>272</v>
      </c>
    </row>
    <row r="115" spans="1:19" x14ac:dyDescent="0.2">
      <c r="A115" t="s">
        <v>13</v>
      </c>
      <c r="B115" s="8" t="s">
        <v>378</v>
      </c>
      <c r="C115" t="s">
        <v>315</v>
      </c>
      <c r="D115" s="7" t="s">
        <v>59</v>
      </c>
      <c r="E115" s="7" t="s">
        <v>60</v>
      </c>
      <c r="F115" t="s">
        <v>284</v>
      </c>
      <c r="H115" t="s">
        <v>245</v>
      </c>
      <c r="I115" t="s">
        <v>23</v>
      </c>
      <c r="J115">
        <v>20</v>
      </c>
      <c r="K115" t="s">
        <v>27</v>
      </c>
      <c r="L115">
        <v>5.6</v>
      </c>
      <c r="M115">
        <v>5.6</v>
      </c>
      <c r="N115" t="s">
        <v>150</v>
      </c>
      <c r="O115">
        <v>0.1</v>
      </c>
      <c r="P115">
        <v>20</v>
      </c>
      <c r="Q115">
        <v>400</v>
      </c>
      <c r="S115" t="str">
        <f>_xlfn.CONCAT("Downsampled ",F84)</f>
        <v>Downsampled 11n09001-guesthost_Tyr-20_mV-600_Hz.atf</v>
      </c>
    </row>
    <row r="116" spans="1:19" x14ac:dyDescent="0.2">
      <c r="A116" t="s">
        <v>13</v>
      </c>
      <c r="B116" s="8" t="s">
        <v>379</v>
      </c>
      <c r="C116" t="s">
        <v>315</v>
      </c>
      <c r="D116" s="7" t="s">
        <v>59</v>
      </c>
      <c r="E116" s="7" t="s">
        <v>60</v>
      </c>
      <c r="F116" t="s">
        <v>285</v>
      </c>
      <c r="H116" t="s">
        <v>245</v>
      </c>
      <c r="I116" t="s">
        <v>23</v>
      </c>
      <c r="J116">
        <v>20</v>
      </c>
      <c r="K116" t="s">
        <v>27</v>
      </c>
      <c r="L116">
        <v>5.6</v>
      </c>
      <c r="M116">
        <v>5.6</v>
      </c>
      <c r="N116" t="s">
        <v>150</v>
      </c>
      <c r="O116">
        <v>0.1</v>
      </c>
      <c r="P116">
        <v>20</v>
      </c>
      <c r="Q116">
        <v>400</v>
      </c>
      <c r="S116" t="str">
        <f t="shared" ref="S116:S145" si="0">_xlfn.CONCAT("Downsampled ",F85)</f>
        <v>Downsampled 11n09004-guesthost_Tyr-20_mV-600_Hz.atf</v>
      </c>
    </row>
    <row r="117" spans="1:19" x14ac:dyDescent="0.2">
      <c r="A117" t="s">
        <v>13</v>
      </c>
      <c r="B117" s="8" t="s">
        <v>380</v>
      </c>
      <c r="C117" t="s">
        <v>315</v>
      </c>
      <c r="D117" s="7" t="s">
        <v>59</v>
      </c>
      <c r="E117" s="7" t="s">
        <v>60</v>
      </c>
      <c r="F117" t="s">
        <v>286</v>
      </c>
      <c r="H117" t="s">
        <v>245</v>
      </c>
      <c r="I117" t="s">
        <v>23</v>
      </c>
      <c r="J117">
        <v>40</v>
      </c>
      <c r="K117" t="s">
        <v>27</v>
      </c>
      <c r="L117">
        <v>5.6</v>
      </c>
      <c r="M117">
        <v>5.6</v>
      </c>
      <c r="N117" t="s">
        <v>150</v>
      </c>
      <c r="O117">
        <v>0.1</v>
      </c>
      <c r="P117">
        <v>20</v>
      </c>
      <c r="Q117">
        <v>400</v>
      </c>
      <c r="S117" t="str">
        <f t="shared" si="0"/>
        <v>Downsampled 11n09004-guesthost_Tyr-40_mV-600_Hz.atf</v>
      </c>
    </row>
    <row r="118" spans="1:19" x14ac:dyDescent="0.2">
      <c r="A118" t="s">
        <v>13</v>
      </c>
      <c r="B118" s="8" t="s">
        <v>381</v>
      </c>
      <c r="C118" t="s">
        <v>315</v>
      </c>
      <c r="D118" s="7" t="s">
        <v>59</v>
      </c>
      <c r="E118" s="7" t="s">
        <v>60</v>
      </c>
      <c r="F118" t="s">
        <v>287</v>
      </c>
      <c r="H118" t="s">
        <v>245</v>
      </c>
      <c r="I118" t="s">
        <v>23</v>
      </c>
      <c r="J118">
        <v>20</v>
      </c>
      <c r="K118" t="s">
        <v>27</v>
      </c>
      <c r="L118">
        <v>5.6</v>
      </c>
      <c r="M118">
        <v>5.6</v>
      </c>
      <c r="N118" t="s">
        <v>150</v>
      </c>
      <c r="O118">
        <v>0.1</v>
      </c>
      <c r="P118">
        <v>20</v>
      </c>
      <c r="Q118">
        <v>400</v>
      </c>
      <c r="S118" t="str">
        <f t="shared" si="0"/>
        <v>Downsampled 11n16001-guesthost_Tyr-20_mV-600_Hz.atf</v>
      </c>
    </row>
    <row r="119" spans="1:19" x14ac:dyDescent="0.2">
      <c r="A119" t="s">
        <v>13</v>
      </c>
      <c r="B119" s="8" t="s">
        <v>382</v>
      </c>
      <c r="C119" t="s">
        <v>315</v>
      </c>
      <c r="D119" s="7" t="s">
        <v>59</v>
      </c>
      <c r="E119" s="7" t="s">
        <v>60</v>
      </c>
      <c r="F119" t="s">
        <v>288</v>
      </c>
      <c r="H119" t="s">
        <v>245</v>
      </c>
      <c r="I119" t="s">
        <v>23</v>
      </c>
      <c r="J119">
        <v>30</v>
      </c>
      <c r="K119" t="s">
        <v>27</v>
      </c>
      <c r="L119">
        <v>5.6</v>
      </c>
      <c r="M119">
        <v>5.6</v>
      </c>
      <c r="N119" t="s">
        <v>150</v>
      </c>
      <c r="O119">
        <v>0.1</v>
      </c>
      <c r="P119">
        <v>20</v>
      </c>
      <c r="Q119">
        <v>400</v>
      </c>
      <c r="S119" t="str">
        <f t="shared" si="0"/>
        <v>Downsampled 11n16002-guesthost_Tyr-30_mV-600_Hz-rpt_1.atf</v>
      </c>
    </row>
    <row r="120" spans="1:19" x14ac:dyDescent="0.2">
      <c r="A120" t="s">
        <v>13</v>
      </c>
      <c r="B120" s="8" t="s">
        <v>383</v>
      </c>
      <c r="C120" t="s">
        <v>315</v>
      </c>
      <c r="D120" s="7" t="s">
        <v>59</v>
      </c>
      <c r="E120" s="7" t="s">
        <v>60</v>
      </c>
      <c r="F120" t="s">
        <v>289</v>
      </c>
      <c r="H120" t="s">
        <v>245</v>
      </c>
      <c r="I120" t="s">
        <v>23</v>
      </c>
      <c r="J120">
        <v>30</v>
      </c>
      <c r="K120" t="s">
        <v>27</v>
      </c>
      <c r="L120">
        <v>5.6</v>
      </c>
      <c r="M120">
        <v>5.6</v>
      </c>
      <c r="N120" t="s">
        <v>150</v>
      </c>
      <c r="O120">
        <v>0.1</v>
      </c>
      <c r="P120">
        <v>20</v>
      </c>
      <c r="Q120">
        <v>400</v>
      </c>
      <c r="S120" t="str">
        <f t="shared" si="0"/>
        <v>Downsampled 11n16002-guesthost_Tyr-30_mV-600_Hz-rpt_2.atf</v>
      </c>
    </row>
    <row r="121" spans="1:19" x14ac:dyDescent="0.2">
      <c r="A121" t="s">
        <v>13</v>
      </c>
      <c r="B121" s="8" t="s">
        <v>384</v>
      </c>
      <c r="C121" t="s">
        <v>315</v>
      </c>
      <c r="D121" s="7" t="s">
        <v>59</v>
      </c>
      <c r="E121" s="7" t="s">
        <v>60</v>
      </c>
      <c r="F121" t="s">
        <v>290</v>
      </c>
      <c r="H121" t="s">
        <v>245</v>
      </c>
      <c r="I121" t="s">
        <v>23</v>
      </c>
      <c r="J121">
        <v>75</v>
      </c>
      <c r="K121" t="s">
        <v>27</v>
      </c>
      <c r="L121">
        <v>5.6</v>
      </c>
      <c r="M121">
        <v>5.6</v>
      </c>
      <c r="N121" t="s">
        <v>150</v>
      </c>
      <c r="O121">
        <v>0.1</v>
      </c>
      <c r="P121">
        <v>20</v>
      </c>
      <c r="Q121">
        <v>400</v>
      </c>
      <c r="S121" t="str">
        <f t="shared" si="0"/>
        <v>Downsampled 11n16002-guesthost_Tyr-75_mV-600_Hz.atf</v>
      </c>
    </row>
    <row r="122" spans="1:19" x14ac:dyDescent="0.2">
      <c r="A122" t="s">
        <v>13</v>
      </c>
      <c r="B122" s="8" t="s">
        <v>385</v>
      </c>
      <c r="C122" t="s">
        <v>315</v>
      </c>
      <c r="D122" s="7" t="s">
        <v>59</v>
      </c>
      <c r="E122" s="7" t="s">
        <v>60</v>
      </c>
      <c r="F122" t="s">
        <v>291</v>
      </c>
      <c r="H122" t="s">
        <v>245</v>
      </c>
      <c r="I122" t="s">
        <v>23</v>
      </c>
      <c r="J122">
        <v>80</v>
      </c>
      <c r="K122" t="s">
        <v>27</v>
      </c>
      <c r="L122">
        <v>5.6</v>
      </c>
      <c r="M122">
        <v>5.6</v>
      </c>
      <c r="N122" t="s">
        <v>150</v>
      </c>
      <c r="O122">
        <v>0.1</v>
      </c>
      <c r="P122">
        <v>20</v>
      </c>
      <c r="Q122">
        <v>400</v>
      </c>
      <c r="S122" t="str">
        <f t="shared" si="0"/>
        <v>Downsampled 11n16002-guesthost_Tyr-80_mV-600_Hz.atf</v>
      </c>
    </row>
    <row r="123" spans="1:19" x14ac:dyDescent="0.2">
      <c r="A123" t="s">
        <v>13</v>
      </c>
      <c r="B123" s="8" t="s">
        <v>386</v>
      </c>
      <c r="C123" t="s">
        <v>315</v>
      </c>
      <c r="D123" s="7" t="s">
        <v>59</v>
      </c>
      <c r="E123" s="7" t="s">
        <v>60</v>
      </c>
      <c r="F123" t="s">
        <v>292</v>
      </c>
      <c r="H123" t="s">
        <v>245</v>
      </c>
      <c r="I123" t="s">
        <v>23</v>
      </c>
      <c r="J123">
        <v>15</v>
      </c>
      <c r="K123" t="s">
        <v>27</v>
      </c>
      <c r="L123">
        <v>5.6</v>
      </c>
      <c r="M123">
        <v>5.6</v>
      </c>
      <c r="N123" t="s">
        <v>150</v>
      </c>
      <c r="O123">
        <v>0.1</v>
      </c>
      <c r="P123">
        <v>20</v>
      </c>
      <c r="Q123">
        <v>400</v>
      </c>
      <c r="S123" t="str">
        <f t="shared" si="0"/>
        <v>Downsampled 11n16003-guesthost_Tyr-15_mV-600_Hz.atf</v>
      </c>
    </row>
    <row r="124" spans="1:19" x14ac:dyDescent="0.2">
      <c r="A124" t="s">
        <v>13</v>
      </c>
      <c r="B124" s="8" t="s">
        <v>387</v>
      </c>
      <c r="C124" t="s">
        <v>315</v>
      </c>
      <c r="D124" s="7" t="s">
        <v>59</v>
      </c>
      <c r="E124" s="7" t="s">
        <v>60</v>
      </c>
      <c r="F124" t="s">
        <v>293</v>
      </c>
      <c r="H124" t="s">
        <v>245</v>
      </c>
      <c r="I124" t="s">
        <v>23</v>
      </c>
      <c r="J124">
        <v>25</v>
      </c>
      <c r="K124" t="s">
        <v>27</v>
      </c>
      <c r="L124">
        <v>5.6</v>
      </c>
      <c r="M124">
        <v>5.6</v>
      </c>
      <c r="N124" t="s">
        <v>150</v>
      </c>
      <c r="O124">
        <v>0.1</v>
      </c>
      <c r="P124">
        <v>20</v>
      </c>
      <c r="Q124">
        <v>400</v>
      </c>
      <c r="S124" t="str">
        <f t="shared" si="0"/>
        <v>Downsampled 11n16003-guesthost_Tyr-25_mV-600_Hz.atf</v>
      </c>
    </row>
    <row r="125" spans="1:19" x14ac:dyDescent="0.2">
      <c r="A125" t="s">
        <v>13</v>
      </c>
      <c r="B125" s="8" t="s">
        <v>388</v>
      </c>
      <c r="C125" t="s">
        <v>315</v>
      </c>
      <c r="D125" s="7" t="s">
        <v>59</v>
      </c>
      <c r="E125" s="7" t="s">
        <v>60</v>
      </c>
      <c r="F125" t="s">
        <v>294</v>
      </c>
      <c r="H125" t="s">
        <v>245</v>
      </c>
      <c r="I125" t="s">
        <v>23</v>
      </c>
      <c r="J125">
        <v>30</v>
      </c>
      <c r="K125" t="s">
        <v>27</v>
      </c>
      <c r="L125">
        <v>5.6</v>
      </c>
      <c r="M125">
        <v>5.6</v>
      </c>
      <c r="N125" t="s">
        <v>150</v>
      </c>
      <c r="O125">
        <v>0.1</v>
      </c>
      <c r="P125">
        <v>20</v>
      </c>
      <c r="Q125">
        <v>400</v>
      </c>
      <c r="S125" t="str">
        <f t="shared" si="0"/>
        <v>Downsampled 11n16003-guesthost_Tyr-30_mV-600_Hz.atf</v>
      </c>
    </row>
    <row r="126" spans="1:19" x14ac:dyDescent="0.2">
      <c r="A126" t="s">
        <v>13</v>
      </c>
      <c r="B126" s="8" t="s">
        <v>389</v>
      </c>
      <c r="C126" t="s">
        <v>315</v>
      </c>
      <c r="D126" s="7" t="s">
        <v>59</v>
      </c>
      <c r="E126" s="7" t="s">
        <v>60</v>
      </c>
      <c r="F126" t="s">
        <v>295</v>
      </c>
      <c r="H126" t="s">
        <v>245</v>
      </c>
      <c r="I126" t="s">
        <v>23</v>
      </c>
      <c r="J126">
        <v>35</v>
      </c>
      <c r="K126" t="s">
        <v>27</v>
      </c>
      <c r="L126">
        <v>5.6</v>
      </c>
      <c r="M126">
        <v>5.6</v>
      </c>
      <c r="N126" t="s">
        <v>150</v>
      </c>
      <c r="O126">
        <v>0.1</v>
      </c>
      <c r="P126">
        <v>20</v>
      </c>
      <c r="Q126">
        <v>400</v>
      </c>
      <c r="S126" t="str">
        <f t="shared" si="0"/>
        <v>Downsampled 11n16003-guesthost_Tyr-35_mV-600_Hz.atf</v>
      </c>
    </row>
    <row r="127" spans="1:19" x14ac:dyDescent="0.2">
      <c r="A127" t="s">
        <v>13</v>
      </c>
      <c r="B127" s="8" t="s">
        <v>390</v>
      </c>
      <c r="C127" t="s">
        <v>315</v>
      </c>
      <c r="D127" s="7" t="s">
        <v>59</v>
      </c>
      <c r="E127" s="7" t="s">
        <v>60</v>
      </c>
      <c r="F127" t="s">
        <v>296</v>
      </c>
      <c r="H127" t="s">
        <v>245</v>
      </c>
      <c r="I127" t="s">
        <v>23</v>
      </c>
      <c r="J127">
        <v>40</v>
      </c>
      <c r="K127" t="s">
        <v>27</v>
      </c>
      <c r="L127">
        <v>5.6</v>
      </c>
      <c r="M127">
        <v>5.6</v>
      </c>
      <c r="N127" t="s">
        <v>150</v>
      </c>
      <c r="O127">
        <v>0.1</v>
      </c>
      <c r="P127">
        <v>20</v>
      </c>
      <c r="Q127">
        <v>400</v>
      </c>
      <c r="S127" t="str">
        <f t="shared" si="0"/>
        <v>Downsampled 11n16003-guesthost_Tyr-40_mV-600_Hz.atf</v>
      </c>
    </row>
    <row r="128" spans="1:19" x14ac:dyDescent="0.2">
      <c r="A128" t="s">
        <v>13</v>
      </c>
      <c r="B128" s="8" t="s">
        <v>391</v>
      </c>
      <c r="C128" t="s">
        <v>315</v>
      </c>
      <c r="D128" s="7" t="s">
        <v>59</v>
      </c>
      <c r="E128" s="7" t="s">
        <v>60</v>
      </c>
      <c r="F128" t="s">
        <v>297</v>
      </c>
      <c r="H128" t="s">
        <v>245</v>
      </c>
      <c r="I128" t="s">
        <v>23</v>
      </c>
      <c r="J128">
        <v>50</v>
      </c>
      <c r="K128" t="s">
        <v>27</v>
      </c>
      <c r="L128">
        <v>5.6</v>
      </c>
      <c r="M128">
        <v>5.6</v>
      </c>
      <c r="N128" t="s">
        <v>150</v>
      </c>
      <c r="O128">
        <v>0.1</v>
      </c>
      <c r="P128">
        <v>20</v>
      </c>
      <c r="Q128">
        <v>400</v>
      </c>
      <c r="S128" t="str">
        <f t="shared" si="0"/>
        <v>Downsampled 11n16003-guesthost_Tyr-50_mV-600_Hz.atf</v>
      </c>
    </row>
    <row r="129" spans="1:19" x14ac:dyDescent="0.2">
      <c r="A129" t="s">
        <v>13</v>
      </c>
      <c r="B129" s="8" t="s">
        <v>392</v>
      </c>
      <c r="C129" t="s">
        <v>315</v>
      </c>
      <c r="D129" s="7" t="s">
        <v>59</v>
      </c>
      <c r="E129" s="7" t="s">
        <v>60</v>
      </c>
      <c r="F129" t="s">
        <v>298</v>
      </c>
      <c r="H129" t="s">
        <v>245</v>
      </c>
      <c r="I129" t="s">
        <v>23</v>
      </c>
      <c r="J129">
        <v>60</v>
      </c>
      <c r="K129" t="s">
        <v>27</v>
      </c>
      <c r="L129">
        <v>5.6</v>
      </c>
      <c r="M129">
        <v>5.6</v>
      </c>
      <c r="N129" t="s">
        <v>150</v>
      </c>
      <c r="O129">
        <v>0.1</v>
      </c>
      <c r="P129">
        <v>20</v>
      </c>
      <c r="Q129">
        <v>400</v>
      </c>
      <c r="S129" t="str">
        <f t="shared" si="0"/>
        <v>Downsampled 11n16003-guesthost_Tyr-60_mV-600_Hz.atf</v>
      </c>
    </row>
    <row r="130" spans="1:19" x14ac:dyDescent="0.2">
      <c r="A130" t="s">
        <v>13</v>
      </c>
      <c r="B130" s="8" t="s">
        <v>393</v>
      </c>
      <c r="C130" t="s">
        <v>315</v>
      </c>
      <c r="D130" s="7" t="s">
        <v>59</v>
      </c>
      <c r="E130" s="7" t="s">
        <v>60</v>
      </c>
      <c r="F130" t="s">
        <v>299</v>
      </c>
      <c r="H130" t="s">
        <v>245</v>
      </c>
      <c r="I130" t="s">
        <v>23</v>
      </c>
      <c r="J130">
        <v>65</v>
      </c>
      <c r="K130" t="s">
        <v>27</v>
      </c>
      <c r="L130">
        <v>5.6</v>
      </c>
      <c r="M130">
        <v>5.6</v>
      </c>
      <c r="N130" t="s">
        <v>150</v>
      </c>
      <c r="O130">
        <v>0.1</v>
      </c>
      <c r="P130">
        <v>20</v>
      </c>
      <c r="Q130">
        <v>400</v>
      </c>
      <c r="S130" t="str">
        <f t="shared" si="0"/>
        <v>Downsampled 11n16003-guesthost_Tyr-65_mV-600_Hz.atf</v>
      </c>
    </row>
    <row r="131" spans="1:19" x14ac:dyDescent="0.2">
      <c r="A131" t="s">
        <v>13</v>
      </c>
      <c r="B131" s="8" t="s">
        <v>394</v>
      </c>
      <c r="C131" t="s">
        <v>315</v>
      </c>
      <c r="D131" s="7" t="s">
        <v>59</v>
      </c>
      <c r="E131" s="7" t="s">
        <v>60</v>
      </c>
      <c r="F131" t="s">
        <v>300</v>
      </c>
      <c r="H131" t="s">
        <v>245</v>
      </c>
      <c r="I131" t="s">
        <v>23</v>
      </c>
      <c r="J131">
        <v>75</v>
      </c>
      <c r="K131" t="s">
        <v>27</v>
      </c>
      <c r="L131">
        <v>5.6</v>
      </c>
      <c r="M131">
        <v>5.6</v>
      </c>
      <c r="N131" t="s">
        <v>150</v>
      </c>
      <c r="O131">
        <v>0.1</v>
      </c>
      <c r="P131">
        <v>20</v>
      </c>
      <c r="Q131">
        <v>400</v>
      </c>
      <c r="S131" t="str">
        <f t="shared" si="0"/>
        <v>Downsampled 11n16003-guesthost_Tyr-75_mV-600_Hz.atf</v>
      </c>
    </row>
    <row r="132" spans="1:19" x14ac:dyDescent="0.2">
      <c r="A132" t="s">
        <v>13</v>
      </c>
      <c r="B132" s="8" t="s">
        <v>395</v>
      </c>
      <c r="C132" t="s">
        <v>315</v>
      </c>
      <c r="D132" s="7" t="s">
        <v>59</v>
      </c>
      <c r="E132" s="7" t="s">
        <v>60</v>
      </c>
      <c r="F132" t="s">
        <v>301</v>
      </c>
      <c r="H132" t="s">
        <v>245</v>
      </c>
      <c r="I132" t="s">
        <v>23</v>
      </c>
      <c r="J132">
        <v>60</v>
      </c>
      <c r="K132" t="s">
        <v>27</v>
      </c>
      <c r="L132">
        <v>5.6</v>
      </c>
      <c r="M132">
        <v>5.6</v>
      </c>
      <c r="N132" t="s">
        <v>150</v>
      </c>
      <c r="O132">
        <v>0.1</v>
      </c>
      <c r="P132">
        <v>20</v>
      </c>
      <c r="Q132">
        <v>400</v>
      </c>
      <c r="S132" t="str">
        <f t="shared" si="0"/>
        <v>Downsampled 11d02001-guesthost_Tyr-60_mV-600_Hz.atf</v>
      </c>
    </row>
    <row r="133" spans="1:19" x14ac:dyDescent="0.2">
      <c r="A133" t="s">
        <v>13</v>
      </c>
      <c r="B133" s="8" t="s">
        <v>396</v>
      </c>
      <c r="C133" t="s">
        <v>315</v>
      </c>
      <c r="D133" s="7" t="s">
        <v>59</v>
      </c>
      <c r="E133" s="7" t="s">
        <v>60</v>
      </c>
      <c r="F133" t="s">
        <v>302</v>
      </c>
      <c r="H133" t="s">
        <v>245</v>
      </c>
      <c r="I133" t="s">
        <v>23</v>
      </c>
      <c r="J133">
        <v>80</v>
      </c>
      <c r="K133" t="s">
        <v>27</v>
      </c>
      <c r="L133">
        <v>5.6</v>
      </c>
      <c r="M133">
        <v>5.6</v>
      </c>
      <c r="N133" t="s">
        <v>150</v>
      </c>
      <c r="O133">
        <v>0.1</v>
      </c>
      <c r="P133">
        <v>20</v>
      </c>
      <c r="Q133">
        <v>400</v>
      </c>
      <c r="S133" t="str">
        <f t="shared" si="0"/>
        <v>Downsampled 11d02001-guesthost_Tyr-80_mV-600_Hz.atf</v>
      </c>
    </row>
    <row r="134" spans="1:19" x14ac:dyDescent="0.2">
      <c r="A134" t="s">
        <v>13</v>
      </c>
      <c r="B134" s="8" t="s">
        <v>397</v>
      </c>
      <c r="C134" t="s">
        <v>315</v>
      </c>
      <c r="D134" s="7" t="s">
        <v>59</v>
      </c>
      <c r="E134" s="7" t="s">
        <v>60</v>
      </c>
      <c r="F134" t="s">
        <v>303</v>
      </c>
      <c r="H134" t="s">
        <v>245</v>
      </c>
      <c r="I134" t="s">
        <v>23</v>
      </c>
      <c r="J134">
        <v>90</v>
      </c>
      <c r="K134" t="s">
        <v>27</v>
      </c>
      <c r="L134">
        <v>5.6</v>
      </c>
      <c r="M134">
        <v>5.6</v>
      </c>
      <c r="N134" t="s">
        <v>150</v>
      </c>
      <c r="O134">
        <v>0.1</v>
      </c>
      <c r="P134">
        <v>20</v>
      </c>
      <c r="Q134">
        <v>400</v>
      </c>
      <c r="S134" t="str">
        <f t="shared" si="0"/>
        <v>Downsampled 11d02001-guesthost_Tyr-90_mV-600_Hz.atf</v>
      </c>
    </row>
    <row r="135" spans="1:19" x14ac:dyDescent="0.2">
      <c r="A135" t="s">
        <v>13</v>
      </c>
      <c r="B135" s="8" t="s">
        <v>398</v>
      </c>
      <c r="C135" t="s">
        <v>315</v>
      </c>
      <c r="D135" s="7" t="s">
        <v>59</v>
      </c>
      <c r="E135" s="7" t="s">
        <v>60</v>
      </c>
      <c r="F135" t="s">
        <v>304</v>
      </c>
      <c r="H135" t="s">
        <v>245</v>
      </c>
      <c r="I135" t="s">
        <v>23</v>
      </c>
      <c r="J135">
        <v>15</v>
      </c>
      <c r="K135" t="s">
        <v>27</v>
      </c>
      <c r="L135">
        <v>5.6</v>
      </c>
      <c r="M135">
        <v>5.6</v>
      </c>
      <c r="N135" t="s">
        <v>150</v>
      </c>
      <c r="O135">
        <v>0.1</v>
      </c>
      <c r="P135">
        <v>20</v>
      </c>
      <c r="Q135">
        <v>400</v>
      </c>
      <c r="S135" t="str">
        <f t="shared" si="0"/>
        <v>Downsampled 11d02003-guesthost_Tyr-15_mV-600_Hz.atf</v>
      </c>
    </row>
    <row r="136" spans="1:19" x14ac:dyDescent="0.2">
      <c r="A136" t="s">
        <v>13</v>
      </c>
      <c r="B136" s="8" t="s">
        <v>399</v>
      </c>
      <c r="C136" t="s">
        <v>315</v>
      </c>
      <c r="D136" s="7" t="s">
        <v>59</v>
      </c>
      <c r="E136" s="7" t="s">
        <v>60</v>
      </c>
      <c r="F136" t="s">
        <v>305</v>
      </c>
      <c r="H136" t="s">
        <v>245</v>
      </c>
      <c r="I136" t="s">
        <v>23</v>
      </c>
      <c r="J136">
        <v>25</v>
      </c>
      <c r="K136" t="s">
        <v>27</v>
      </c>
      <c r="L136">
        <v>5.6</v>
      </c>
      <c r="M136">
        <v>5.6</v>
      </c>
      <c r="N136" t="s">
        <v>150</v>
      </c>
      <c r="O136">
        <v>0.1</v>
      </c>
      <c r="P136">
        <v>20</v>
      </c>
      <c r="Q136">
        <v>400</v>
      </c>
      <c r="S136" t="str">
        <f t="shared" si="0"/>
        <v>Downsampled 11d02003-guesthost_Tyr-25_mV-600_Hz.atf</v>
      </c>
    </row>
    <row r="137" spans="1:19" x14ac:dyDescent="0.2">
      <c r="A137" t="s">
        <v>13</v>
      </c>
      <c r="B137" s="8" t="s">
        <v>400</v>
      </c>
      <c r="C137" t="s">
        <v>315</v>
      </c>
      <c r="D137" s="7" t="s">
        <v>59</v>
      </c>
      <c r="E137" s="7" t="s">
        <v>60</v>
      </c>
      <c r="F137" t="s">
        <v>306</v>
      </c>
      <c r="H137" t="s">
        <v>245</v>
      </c>
      <c r="I137" t="s">
        <v>23</v>
      </c>
      <c r="J137">
        <v>30</v>
      </c>
      <c r="K137" t="s">
        <v>27</v>
      </c>
      <c r="L137">
        <v>5.6</v>
      </c>
      <c r="M137">
        <v>5.6</v>
      </c>
      <c r="N137" t="s">
        <v>150</v>
      </c>
      <c r="O137">
        <v>0.1</v>
      </c>
      <c r="P137">
        <v>20</v>
      </c>
      <c r="Q137">
        <v>400</v>
      </c>
      <c r="S137" t="str">
        <f t="shared" si="0"/>
        <v>Downsampled 11d02003-guesthost_Tyr-30_mV-600_Hz.atf</v>
      </c>
    </row>
    <row r="138" spans="1:19" x14ac:dyDescent="0.2">
      <c r="A138" t="s">
        <v>13</v>
      </c>
      <c r="B138" s="8" t="s">
        <v>401</v>
      </c>
      <c r="C138" t="s">
        <v>315</v>
      </c>
      <c r="D138" s="7" t="s">
        <v>59</v>
      </c>
      <c r="E138" s="7" t="s">
        <v>60</v>
      </c>
      <c r="F138" t="s">
        <v>307</v>
      </c>
      <c r="H138" t="s">
        <v>245</v>
      </c>
      <c r="I138" t="s">
        <v>23</v>
      </c>
      <c r="J138">
        <v>35</v>
      </c>
      <c r="K138" t="s">
        <v>27</v>
      </c>
      <c r="L138">
        <v>5.6</v>
      </c>
      <c r="M138">
        <v>5.6</v>
      </c>
      <c r="N138" t="s">
        <v>150</v>
      </c>
      <c r="O138">
        <v>0.1</v>
      </c>
      <c r="P138">
        <v>20</v>
      </c>
      <c r="Q138">
        <v>400</v>
      </c>
      <c r="S138" t="str">
        <f t="shared" si="0"/>
        <v>Downsampled 11d02003-guesthost_Tyr-35_mV-600_Hz-rpt_1.atf</v>
      </c>
    </row>
    <row r="139" spans="1:19" x14ac:dyDescent="0.2">
      <c r="A139" t="s">
        <v>13</v>
      </c>
      <c r="B139" s="8" t="s">
        <v>402</v>
      </c>
      <c r="C139" t="s">
        <v>315</v>
      </c>
      <c r="D139" s="7" t="s">
        <v>59</v>
      </c>
      <c r="E139" s="7" t="s">
        <v>60</v>
      </c>
      <c r="F139" t="s">
        <v>308</v>
      </c>
      <c r="H139" t="s">
        <v>245</v>
      </c>
      <c r="I139" t="s">
        <v>23</v>
      </c>
      <c r="J139">
        <v>35</v>
      </c>
      <c r="K139" t="s">
        <v>27</v>
      </c>
      <c r="L139">
        <v>5.6</v>
      </c>
      <c r="M139">
        <v>5.6</v>
      </c>
      <c r="N139" t="s">
        <v>150</v>
      </c>
      <c r="O139">
        <v>0.1</v>
      </c>
      <c r="P139">
        <v>20</v>
      </c>
      <c r="Q139">
        <v>400</v>
      </c>
      <c r="S139" t="str">
        <f t="shared" si="0"/>
        <v>Downsampled 11d02003-guesthost_Tyr-35_mV-600_Hz-rpt_2.atf</v>
      </c>
    </row>
    <row r="140" spans="1:19" x14ac:dyDescent="0.2">
      <c r="A140" t="s">
        <v>13</v>
      </c>
      <c r="B140" s="8" t="s">
        <v>403</v>
      </c>
      <c r="C140" t="s">
        <v>315</v>
      </c>
      <c r="D140" s="7" t="s">
        <v>59</v>
      </c>
      <c r="E140" s="7" t="s">
        <v>60</v>
      </c>
      <c r="F140" t="s">
        <v>309</v>
      </c>
      <c r="H140" t="s">
        <v>245</v>
      </c>
      <c r="I140" t="s">
        <v>23</v>
      </c>
      <c r="J140">
        <v>40</v>
      </c>
      <c r="K140" t="s">
        <v>27</v>
      </c>
      <c r="L140">
        <v>5.6</v>
      </c>
      <c r="M140">
        <v>5.6</v>
      </c>
      <c r="N140" t="s">
        <v>150</v>
      </c>
      <c r="O140">
        <v>0.1</v>
      </c>
      <c r="P140">
        <v>20</v>
      </c>
      <c r="Q140">
        <v>400</v>
      </c>
      <c r="S140" t="str">
        <f t="shared" si="0"/>
        <v>Downsampled 11d02003-guesthost_Tyr-40_mV-600_Hz.atf</v>
      </c>
    </row>
    <row r="141" spans="1:19" x14ac:dyDescent="0.2">
      <c r="A141" t="s">
        <v>13</v>
      </c>
      <c r="B141" s="8" t="s">
        <v>404</v>
      </c>
      <c r="C141" t="s">
        <v>315</v>
      </c>
      <c r="D141" s="7" t="s">
        <v>59</v>
      </c>
      <c r="E141" s="7" t="s">
        <v>60</v>
      </c>
      <c r="F141" t="s">
        <v>310</v>
      </c>
      <c r="H141" t="s">
        <v>245</v>
      </c>
      <c r="I141" t="s">
        <v>23</v>
      </c>
      <c r="J141">
        <v>50</v>
      </c>
      <c r="K141" t="s">
        <v>27</v>
      </c>
      <c r="L141">
        <v>5.6</v>
      </c>
      <c r="M141">
        <v>5.6</v>
      </c>
      <c r="N141" t="s">
        <v>150</v>
      </c>
      <c r="O141">
        <v>0.1</v>
      </c>
      <c r="P141">
        <v>20</v>
      </c>
      <c r="Q141">
        <v>400</v>
      </c>
      <c r="S141" t="str">
        <f t="shared" si="0"/>
        <v>Downsampled 11d02003-guesthost_Tyr-50_mV-600_Hz.atf</v>
      </c>
    </row>
    <row r="142" spans="1:19" x14ac:dyDescent="0.2">
      <c r="A142" t="s">
        <v>13</v>
      </c>
      <c r="B142" s="8" t="s">
        <v>405</v>
      </c>
      <c r="C142" t="s">
        <v>315</v>
      </c>
      <c r="D142" s="7" t="s">
        <v>59</v>
      </c>
      <c r="E142" s="7" t="s">
        <v>60</v>
      </c>
      <c r="F142" t="s">
        <v>311</v>
      </c>
      <c r="H142" t="s">
        <v>245</v>
      </c>
      <c r="I142" t="s">
        <v>23</v>
      </c>
      <c r="J142">
        <v>60</v>
      </c>
      <c r="K142" t="s">
        <v>27</v>
      </c>
      <c r="L142">
        <v>5.6</v>
      </c>
      <c r="M142">
        <v>5.6</v>
      </c>
      <c r="N142" t="s">
        <v>150</v>
      </c>
      <c r="O142">
        <v>0.1</v>
      </c>
      <c r="P142">
        <v>20</v>
      </c>
      <c r="Q142">
        <v>400</v>
      </c>
      <c r="S142" t="str">
        <f t="shared" si="0"/>
        <v>Downsampled 11d02003-guesthost_Tyr-60_mV-600_Hz.atf</v>
      </c>
    </row>
    <row r="143" spans="1:19" x14ac:dyDescent="0.2">
      <c r="A143" t="s">
        <v>13</v>
      </c>
      <c r="B143" s="8" t="s">
        <v>406</v>
      </c>
      <c r="C143" t="s">
        <v>315</v>
      </c>
      <c r="D143" s="7" t="s">
        <v>59</v>
      </c>
      <c r="E143" s="7" t="s">
        <v>60</v>
      </c>
      <c r="F143" t="s">
        <v>312</v>
      </c>
      <c r="H143" t="s">
        <v>245</v>
      </c>
      <c r="I143" t="s">
        <v>23</v>
      </c>
      <c r="J143">
        <v>65</v>
      </c>
      <c r="K143" t="s">
        <v>27</v>
      </c>
      <c r="L143">
        <v>5.6</v>
      </c>
      <c r="M143">
        <v>5.6</v>
      </c>
      <c r="N143" t="s">
        <v>150</v>
      </c>
      <c r="O143">
        <v>0.1</v>
      </c>
      <c r="P143">
        <v>20</v>
      </c>
      <c r="Q143">
        <v>400</v>
      </c>
      <c r="S143" t="str">
        <f t="shared" si="0"/>
        <v>Downsampled 11d02003-guesthost_Tyr-65_mV-600_Hz-rpt_1.atf</v>
      </c>
    </row>
    <row r="144" spans="1:19" x14ac:dyDescent="0.2">
      <c r="A144" t="s">
        <v>13</v>
      </c>
      <c r="B144" s="8" t="s">
        <v>407</v>
      </c>
      <c r="C144" t="s">
        <v>315</v>
      </c>
      <c r="D144" s="7" t="s">
        <v>59</v>
      </c>
      <c r="E144" s="7" t="s">
        <v>60</v>
      </c>
      <c r="F144" t="s">
        <v>313</v>
      </c>
      <c r="H144" t="s">
        <v>245</v>
      </c>
      <c r="I144" t="s">
        <v>23</v>
      </c>
      <c r="J144">
        <v>65</v>
      </c>
      <c r="K144" t="s">
        <v>27</v>
      </c>
      <c r="L144">
        <v>5.6</v>
      </c>
      <c r="M144">
        <v>5.6</v>
      </c>
      <c r="N144" t="s">
        <v>150</v>
      </c>
      <c r="O144">
        <v>0.1</v>
      </c>
      <c r="P144">
        <v>20</v>
      </c>
      <c r="Q144">
        <v>400</v>
      </c>
      <c r="S144" t="str">
        <f t="shared" si="0"/>
        <v>Downsampled 11d02003-guesthost_Tyr-65_mV-600_Hz-rpt_2.atf</v>
      </c>
    </row>
    <row r="145" spans="1:19" x14ac:dyDescent="0.2">
      <c r="A145" t="s">
        <v>13</v>
      </c>
      <c r="B145" s="8" t="s">
        <v>408</v>
      </c>
      <c r="C145" t="s">
        <v>315</v>
      </c>
      <c r="D145" s="7" t="s">
        <v>59</v>
      </c>
      <c r="E145" s="7" t="s">
        <v>60</v>
      </c>
      <c r="F145" t="s">
        <v>314</v>
      </c>
      <c r="H145" t="s">
        <v>245</v>
      </c>
      <c r="I145" t="s">
        <v>23</v>
      </c>
      <c r="J145">
        <v>90</v>
      </c>
      <c r="K145" t="s">
        <v>27</v>
      </c>
      <c r="L145">
        <v>5.6</v>
      </c>
      <c r="M145">
        <v>5.6</v>
      </c>
      <c r="N145" t="s">
        <v>150</v>
      </c>
      <c r="O145">
        <v>0.1</v>
      </c>
      <c r="P145">
        <v>20</v>
      </c>
      <c r="Q145">
        <v>400</v>
      </c>
      <c r="S145" t="str">
        <f t="shared" si="0"/>
        <v>Downsampled 11d02003-guesthost_Tyr-90_mV-600_Hz.atf</v>
      </c>
    </row>
    <row r="146" spans="1:19" x14ac:dyDescent="0.2">
      <c r="A146" t="s">
        <v>13</v>
      </c>
      <c r="B146" s="8" t="s">
        <v>409</v>
      </c>
      <c r="C146" t="s">
        <v>19</v>
      </c>
      <c r="D146" s="7" t="s">
        <v>59</v>
      </c>
      <c r="E146" s="7" t="s">
        <v>60</v>
      </c>
      <c r="F146" s="9" t="s">
        <v>316</v>
      </c>
      <c r="H146" t="s">
        <v>245</v>
      </c>
      <c r="I146" t="s">
        <v>23</v>
      </c>
      <c r="J146">
        <v>70</v>
      </c>
      <c r="K146" t="s">
        <v>27</v>
      </c>
      <c r="L146">
        <v>5.6</v>
      </c>
      <c r="M146">
        <v>5.6</v>
      </c>
      <c r="N146" t="s">
        <v>150</v>
      </c>
      <c r="O146">
        <v>0.1</v>
      </c>
      <c r="P146">
        <v>20</v>
      </c>
      <c r="Q146">
        <v>600</v>
      </c>
    </row>
    <row r="147" spans="1:19" x14ac:dyDescent="0.2">
      <c r="A147" t="s">
        <v>13</v>
      </c>
      <c r="B147" s="8" t="s">
        <v>410</v>
      </c>
      <c r="C147" t="s">
        <v>19</v>
      </c>
      <c r="D147" s="7" t="s">
        <v>59</v>
      </c>
      <c r="E147" s="7" t="s">
        <v>60</v>
      </c>
      <c r="F147" t="s">
        <v>317</v>
      </c>
      <c r="H147" t="s">
        <v>245</v>
      </c>
      <c r="I147" t="s">
        <v>23</v>
      </c>
      <c r="J147">
        <v>70</v>
      </c>
      <c r="K147" t="s">
        <v>27</v>
      </c>
      <c r="L147">
        <v>5.6</v>
      </c>
      <c r="M147">
        <v>5.6</v>
      </c>
      <c r="N147" t="s">
        <v>150</v>
      </c>
      <c r="O147">
        <v>0.1</v>
      </c>
      <c r="P147">
        <v>20</v>
      </c>
      <c r="Q147">
        <v>600</v>
      </c>
    </row>
    <row r="148" spans="1:19" x14ac:dyDescent="0.2">
      <c r="A148" t="s">
        <v>13</v>
      </c>
      <c r="B148" s="8" t="s">
        <v>411</v>
      </c>
      <c r="C148" t="s">
        <v>19</v>
      </c>
      <c r="D148" s="7" t="s">
        <v>59</v>
      </c>
      <c r="E148" s="7" t="s">
        <v>60</v>
      </c>
      <c r="F148" t="s">
        <v>318</v>
      </c>
      <c r="H148" t="s">
        <v>245</v>
      </c>
      <c r="I148" t="s">
        <v>23</v>
      </c>
      <c r="J148">
        <v>70</v>
      </c>
      <c r="K148" t="s">
        <v>27</v>
      </c>
      <c r="L148">
        <v>5.6</v>
      </c>
      <c r="M148">
        <v>5.6</v>
      </c>
      <c r="N148" t="s">
        <v>150</v>
      </c>
      <c r="O148">
        <v>0.1</v>
      </c>
      <c r="P148">
        <v>20</v>
      </c>
      <c r="Q148">
        <v>600</v>
      </c>
    </row>
    <row r="149" spans="1:19" x14ac:dyDescent="0.2">
      <c r="A149" t="s">
        <v>13</v>
      </c>
      <c r="B149" s="8" t="s">
        <v>412</v>
      </c>
      <c r="C149" t="s">
        <v>19</v>
      </c>
      <c r="D149" s="7" t="s">
        <v>59</v>
      </c>
      <c r="E149" s="7" t="s">
        <v>60</v>
      </c>
      <c r="F149" t="s">
        <v>319</v>
      </c>
      <c r="H149" t="s">
        <v>245</v>
      </c>
      <c r="I149" t="s">
        <v>23</v>
      </c>
      <c r="J149">
        <v>70</v>
      </c>
      <c r="K149" t="s">
        <v>27</v>
      </c>
      <c r="L149">
        <v>5.6</v>
      </c>
      <c r="M149">
        <v>5.6</v>
      </c>
      <c r="N149" t="s">
        <v>150</v>
      </c>
      <c r="O149">
        <v>0.1</v>
      </c>
      <c r="P149">
        <v>20</v>
      </c>
      <c r="Q149">
        <v>600</v>
      </c>
    </row>
    <row r="150" spans="1:19" x14ac:dyDescent="0.2">
      <c r="A150" t="s">
        <v>13</v>
      </c>
      <c r="B150" s="8" t="s">
        <v>413</v>
      </c>
      <c r="C150" t="s">
        <v>19</v>
      </c>
      <c r="D150" s="7" t="s">
        <v>59</v>
      </c>
      <c r="E150" s="7" t="s">
        <v>60</v>
      </c>
      <c r="F150" t="s">
        <v>320</v>
      </c>
      <c r="H150" t="s">
        <v>245</v>
      </c>
      <c r="I150" t="s">
        <v>23</v>
      </c>
      <c r="J150">
        <v>70</v>
      </c>
      <c r="K150" t="s">
        <v>27</v>
      </c>
      <c r="L150">
        <v>5.6</v>
      </c>
      <c r="M150">
        <v>5.6</v>
      </c>
      <c r="N150" t="s">
        <v>150</v>
      </c>
      <c r="O150">
        <v>0.1</v>
      </c>
      <c r="P150">
        <v>20</v>
      </c>
      <c r="Q150">
        <v>600</v>
      </c>
    </row>
    <row r="151" spans="1:19" x14ac:dyDescent="0.2">
      <c r="A151" t="s">
        <v>13</v>
      </c>
      <c r="B151" s="8" t="s">
        <v>414</v>
      </c>
      <c r="C151" t="s">
        <v>19</v>
      </c>
      <c r="D151" s="7" t="s">
        <v>59</v>
      </c>
      <c r="E151" s="7" t="s">
        <v>60</v>
      </c>
      <c r="F151" t="s">
        <v>321</v>
      </c>
      <c r="H151" t="s">
        <v>245</v>
      </c>
      <c r="I151" t="s">
        <v>23</v>
      </c>
      <c r="J151">
        <v>70</v>
      </c>
      <c r="K151" t="s">
        <v>27</v>
      </c>
      <c r="L151">
        <v>5.6</v>
      </c>
      <c r="M151">
        <v>5.6</v>
      </c>
      <c r="N151" t="s">
        <v>150</v>
      </c>
      <c r="O151">
        <v>0.1</v>
      </c>
      <c r="P151">
        <v>20</v>
      </c>
      <c r="Q151">
        <v>600</v>
      </c>
    </row>
    <row r="152" spans="1:19" x14ac:dyDescent="0.2">
      <c r="A152" t="s">
        <v>13</v>
      </c>
      <c r="B152" s="8" t="s">
        <v>415</v>
      </c>
      <c r="C152" t="s">
        <v>19</v>
      </c>
      <c r="D152" s="7" t="s">
        <v>59</v>
      </c>
      <c r="E152" s="7" t="s">
        <v>60</v>
      </c>
      <c r="F152" t="s">
        <v>322</v>
      </c>
      <c r="H152" t="s">
        <v>245</v>
      </c>
      <c r="I152" t="s">
        <v>23</v>
      </c>
      <c r="J152">
        <v>70</v>
      </c>
      <c r="K152" t="s">
        <v>27</v>
      </c>
      <c r="L152">
        <v>5.6</v>
      </c>
      <c r="M152">
        <v>5.6</v>
      </c>
      <c r="N152" t="s">
        <v>150</v>
      </c>
      <c r="O152">
        <v>0.1</v>
      </c>
      <c r="P152">
        <v>20</v>
      </c>
      <c r="Q152">
        <v>600</v>
      </c>
    </row>
    <row r="153" spans="1:19" x14ac:dyDescent="0.2">
      <c r="A153" t="s">
        <v>13</v>
      </c>
      <c r="B153" s="8" t="s">
        <v>416</v>
      </c>
      <c r="C153" t="s">
        <v>19</v>
      </c>
      <c r="D153" s="7" t="s">
        <v>59</v>
      </c>
      <c r="E153" s="7" t="s">
        <v>60</v>
      </c>
      <c r="F153" t="s">
        <v>323</v>
      </c>
      <c r="H153" t="s">
        <v>245</v>
      </c>
      <c r="I153" t="s">
        <v>23</v>
      </c>
      <c r="J153">
        <v>70</v>
      </c>
      <c r="K153" t="s">
        <v>27</v>
      </c>
      <c r="L153">
        <v>5.6</v>
      </c>
      <c r="M153">
        <v>5.6</v>
      </c>
      <c r="N153" t="s">
        <v>150</v>
      </c>
      <c r="O153">
        <v>0.1</v>
      </c>
      <c r="P153">
        <v>20</v>
      </c>
      <c r="Q153">
        <v>600</v>
      </c>
    </row>
    <row r="154" spans="1:19" x14ac:dyDescent="0.2">
      <c r="A154" t="s">
        <v>13</v>
      </c>
      <c r="B154" s="8" t="s">
        <v>417</v>
      </c>
      <c r="C154" t="s">
        <v>19</v>
      </c>
      <c r="D154" s="7" t="s">
        <v>59</v>
      </c>
      <c r="E154" s="7" t="s">
        <v>60</v>
      </c>
      <c r="F154" t="s">
        <v>324</v>
      </c>
      <c r="H154" t="s">
        <v>245</v>
      </c>
      <c r="I154" t="s">
        <v>23</v>
      </c>
      <c r="J154">
        <v>70</v>
      </c>
      <c r="K154" t="s">
        <v>27</v>
      </c>
      <c r="L154">
        <v>5.6</v>
      </c>
      <c r="M154">
        <v>5.6</v>
      </c>
      <c r="N154" t="s">
        <v>150</v>
      </c>
      <c r="O154">
        <v>0.1</v>
      </c>
      <c r="P154">
        <v>20</v>
      </c>
      <c r="Q154">
        <v>600</v>
      </c>
    </row>
    <row r="155" spans="1:19" x14ac:dyDescent="0.2">
      <c r="A155" t="s">
        <v>13</v>
      </c>
      <c r="B155" s="8" t="s">
        <v>418</v>
      </c>
      <c r="C155" t="s">
        <v>19</v>
      </c>
      <c r="D155" s="7" t="s">
        <v>59</v>
      </c>
      <c r="E155" s="7" t="s">
        <v>60</v>
      </c>
      <c r="F155" t="s">
        <v>325</v>
      </c>
      <c r="H155" t="s">
        <v>245</v>
      </c>
      <c r="I155" t="s">
        <v>23</v>
      </c>
      <c r="J155">
        <v>70</v>
      </c>
      <c r="K155" t="s">
        <v>27</v>
      </c>
      <c r="L155">
        <v>5.6</v>
      </c>
      <c r="M155">
        <v>5.6</v>
      </c>
      <c r="N155" t="s">
        <v>150</v>
      </c>
      <c r="O155">
        <v>0.1</v>
      </c>
      <c r="P155">
        <v>20</v>
      </c>
      <c r="Q155">
        <v>600</v>
      </c>
    </row>
    <row r="156" spans="1:19" x14ac:dyDescent="0.2">
      <c r="A156" t="s">
        <v>13</v>
      </c>
      <c r="B156" s="8" t="s">
        <v>419</v>
      </c>
      <c r="C156" t="s">
        <v>19</v>
      </c>
      <c r="D156" s="7" t="s">
        <v>59</v>
      </c>
      <c r="E156" s="7" t="s">
        <v>60</v>
      </c>
      <c r="F156" t="s">
        <v>326</v>
      </c>
      <c r="H156" t="s">
        <v>245</v>
      </c>
      <c r="I156" t="s">
        <v>23</v>
      </c>
      <c r="J156">
        <v>70</v>
      </c>
      <c r="K156" t="s">
        <v>27</v>
      </c>
      <c r="L156">
        <v>5.6</v>
      </c>
      <c r="M156">
        <v>5.6</v>
      </c>
      <c r="N156" t="s">
        <v>150</v>
      </c>
      <c r="O156">
        <v>0.1</v>
      </c>
      <c r="P156">
        <v>20</v>
      </c>
      <c r="Q156">
        <v>600</v>
      </c>
    </row>
    <row r="157" spans="1:19" x14ac:dyDescent="0.2">
      <c r="A157" t="s">
        <v>13</v>
      </c>
      <c r="B157" s="8" t="s">
        <v>420</v>
      </c>
      <c r="C157" t="s">
        <v>19</v>
      </c>
      <c r="D157" s="7" t="s">
        <v>59</v>
      </c>
      <c r="E157" s="7" t="s">
        <v>60</v>
      </c>
      <c r="F157" t="s">
        <v>327</v>
      </c>
      <c r="H157" t="s">
        <v>245</v>
      </c>
      <c r="I157" t="s">
        <v>23</v>
      </c>
      <c r="J157">
        <v>70</v>
      </c>
      <c r="K157" t="s">
        <v>27</v>
      </c>
      <c r="L157">
        <v>5.6</v>
      </c>
      <c r="M157">
        <v>5.6</v>
      </c>
      <c r="N157" t="s">
        <v>150</v>
      </c>
      <c r="O157">
        <v>0.1</v>
      </c>
      <c r="P157">
        <v>20</v>
      </c>
      <c r="Q157">
        <v>600</v>
      </c>
    </row>
    <row r="158" spans="1:19" x14ac:dyDescent="0.2">
      <c r="A158" t="s">
        <v>13</v>
      </c>
      <c r="B158" s="8" t="s">
        <v>421</v>
      </c>
      <c r="C158" t="s">
        <v>19</v>
      </c>
      <c r="D158" s="7" t="s">
        <v>59</v>
      </c>
      <c r="E158" s="7" t="s">
        <v>60</v>
      </c>
      <c r="F158" t="s">
        <v>328</v>
      </c>
      <c r="H158" t="s">
        <v>245</v>
      </c>
      <c r="I158" t="s">
        <v>23</v>
      </c>
      <c r="J158">
        <v>70</v>
      </c>
      <c r="K158" t="s">
        <v>27</v>
      </c>
      <c r="L158">
        <v>5.6</v>
      </c>
      <c r="M158">
        <v>5.6</v>
      </c>
      <c r="N158" t="s">
        <v>150</v>
      </c>
      <c r="O158">
        <v>0.1</v>
      </c>
      <c r="P158">
        <v>20</v>
      </c>
      <c r="Q158">
        <v>600</v>
      </c>
    </row>
    <row r="159" spans="1:19" x14ac:dyDescent="0.2">
      <c r="A159" t="s">
        <v>13</v>
      </c>
      <c r="B159" s="8" t="s">
        <v>422</v>
      </c>
      <c r="C159" t="s">
        <v>19</v>
      </c>
      <c r="D159" s="7" t="s">
        <v>59</v>
      </c>
      <c r="E159" s="7" t="s">
        <v>60</v>
      </c>
      <c r="F159" t="s">
        <v>329</v>
      </c>
      <c r="H159" t="s">
        <v>245</v>
      </c>
      <c r="I159" t="s">
        <v>23</v>
      </c>
      <c r="J159">
        <v>70</v>
      </c>
      <c r="K159" t="s">
        <v>27</v>
      </c>
      <c r="L159">
        <v>5.6</v>
      </c>
      <c r="M159">
        <v>5.6</v>
      </c>
      <c r="N159" t="s">
        <v>150</v>
      </c>
      <c r="O159">
        <v>0.1</v>
      </c>
      <c r="P159">
        <v>20</v>
      </c>
      <c r="Q159">
        <v>600</v>
      </c>
    </row>
    <row r="160" spans="1:19" x14ac:dyDescent="0.2">
      <c r="A160" t="s">
        <v>13</v>
      </c>
      <c r="B160" s="8" t="s">
        <v>423</v>
      </c>
      <c r="C160" t="s">
        <v>315</v>
      </c>
      <c r="D160" s="7" t="s">
        <v>59</v>
      </c>
      <c r="E160" s="7" t="s">
        <v>60</v>
      </c>
      <c r="F160" t="s">
        <v>330</v>
      </c>
      <c r="H160" t="s">
        <v>245</v>
      </c>
      <c r="I160" t="s">
        <v>23</v>
      </c>
      <c r="J160">
        <v>70</v>
      </c>
      <c r="K160" t="s">
        <v>27</v>
      </c>
      <c r="L160">
        <v>5.6</v>
      </c>
      <c r="M160">
        <v>5.6</v>
      </c>
      <c r="N160" t="s">
        <v>150</v>
      </c>
      <c r="O160">
        <v>0.1</v>
      </c>
      <c r="P160">
        <v>20</v>
      </c>
      <c r="Q160">
        <v>400</v>
      </c>
      <c r="S160" t="str">
        <f>_xlfn.CONCAT("Downsampled ",F146)</f>
        <v>Downsampled 11n09001-guesthost_Tyr-70_mV-600_Hz-rpt_1.atf</v>
      </c>
    </row>
    <row r="161" spans="1:19" x14ac:dyDescent="0.2">
      <c r="A161" t="s">
        <v>13</v>
      </c>
      <c r="B161" s="8" t="s">
        <v>424</v>
      </c>
      <c r="C161" t="s">
        <v>315</v>
      </c>
      <c r="D161" s="7" t="s">
        <v>59</v>
      </c>
      <c r="E161" s="7" t="s">
        <v>60</v>
      </c>
      <c r="F161" t="s">
        <v>331</v>
      </c>
      <c r="H161" t="s">
        <v>245</v>
      </c>
      <c r="I161" t="s">
        <v>23</v>
      </c>
      <c r="J161">
        <v>70</v>
      </c>
      <c r="K161" t="s">
        <v>27</v>
      </c>
      <c r="L161">
        <v>5.6</v>
      </c>
      <c r="M161">
        <v>5.6</v>
      </c>
      <c r="N161" t="s">
        <v>150</v>
      </c>
      <c r="O161">
        <v>0.1</v>
      </c>
      <c r="P161">
        <v>20</v>
      </c>
      <c r="Q161">
        <v>400</v>
      </c>
      <c r="S161" t="str">
        <f t="shared" ref="S161:S173" si="1">_xlfn.CONCAT("Downsampled ",F147)</f>
        <v>Downsampled 11n09001-guesthost_Tyr-70_mV-600_Hz-rpt_2.atf</v>
      </c>
    </row>
    <row r="162" spans="1:19" x14ac:dyDescent="0.2">
      <c r="A162" t="s">
        <v>13</v>
      </c>
      <c r="B162" s="8" t="s">
        <v>425</v>
      </c>
      <c r="C162" t="s">
        <v>315</v>
      </c>
      <c r="D162" s="7" t="s">
        <v>59</v>
      </c>
      <c r="E162" s="7" t="s">
        <v>60</v>
      </c>
      <c r="F162" t="s">
        <v>332</v>
      </c>
      <c r="H162" t="s">
        <v>245</v>
      </c>
      <c r="I162" t="s">
        <v>23</v>
      </c>
      <c r="J162">
        <v>70</v>
      </c>
      <c r="K162" t="s">
        <v>27</v>
      </c>
      <c r="L162">
        <v>5.6</v>
      </c>
      <c r="M162">
        <v>5.6</v>
      </c>
      <c r="N162" t="s">
        <v>150</v>
      </c>
      <c r="O162">
        <v>0.1</v>
      </c>
      <c r="P162">
        <v>20</v>
      </c>
      <c r="Q162">
        <v>400</v>
      </c>
      <c r="S162" t="str">
        <f t="shared" si="1"/>
        <v>Downsampled 11n09001-guesthost_Tyr-70_mV-600_Hz-rpt_3.atf</v>
      </c>
    </row>
    <row r="163" spans="1:19" x14ac:dyDescent="0.2">
      <c r="A163" t="s">
        <v>13</v>
      </c>
      <c r="B163" s="8" t="s">
        <v>426</v>
      </c>
      <c r="C163" t="s">
        <v>315</v>
      </c>
      <c r="D163" s="7" t="s">
        <v>59</v>
      </c>
      <c r="E163" s="7" t="s">
        <v>60</v>
      </c>
      <c r="F163" t="s">
        <v>333</v>
      </c>
      <c r="H163" t="s">
        <v>245</v>
      </c>
      <c r="I163" t="s">
        <v>23</v>
      </c>
      <c r="J163">
        <v>70</v>
      </c>
      <c r="K163" t="s">
        <v>27</v>
      </c>
      <c r="L163">
        <v>5.6</v>
      </c>
      <c r="M163">
        <v>5.6</v>
      </c>
      <c r="N163" t="s">
        <v>150</v>
      </c>
      <c r="O163">
        <v>0.1</v>
      </c>
      <c r="P163">
        <v>20</v>
      </c>
      <c r="Q163">
        <v>400</v>
      </c>
      <c r="S163" t="str">
        <f t="shared" si="1"/>
        <v>Downsampled 11n09001-guesthost_Tyr-70_mV-600_Hz-rpt_4.atf</v>
      </c>
    </row>
    <row r="164" spans="1:19" x14ac:dyDescent="0.2">
      <c r="A164" t="s">
        <v>13</v>
      </c>
      <c r="B164" s="8" t="s">
        <v>427</v>
      </c>
      <c r="C164" t="s">
        <v>315</v>
      </c>
      <c r="D164" s="7" t="s">
        <v>59</v>
      </c>
      <c r="E164" s="7" t="s">
        <v>60</v>
      </c>
      <c r="F164" t="s">
        <v>334</v>
      </c>
      <c r="H164" t="s">
        <v>245</v>
      </c>
      <c r="I164" t="s">
        <v>23</v>
      </c>
      <c r="J164">
        <v>70</v>
      </c>
      <c r="K164" t="s">
        <v>27</v>
      </c>
      <c r="L164">
        <v>5.6</v>
      </c>
      <c r="M164">
        <v>5.6</v>
      </c>
      <c r="N164" t="s">
        <v>150</v>
      </c>
      <c r="O164">
        <v>0.1</v>
      </c>
      <c r="P164">
        <v>20</v>
      </c>
      <c r="Q164">
        <v>400</v>
      </c>
      <c r="S164" t="str">
        <f t="shared" si="1"/>
        <v>Downsampled 11n09001-guesthost_Tyr-70_mV-600_Hz-rpt_5.atf</v>
      </c>
    </row>
    <row r="165" spans="1:19" x14ac:dyDescent="0.2">
      <c r="A165" t="s">
        <v>13</v>
      </c>
      <c r="B165" s="8" t="s">
        <v>428</v>
      </c>
      <c r="C165" t="s">
        <v>315</v>
      </c>
      <c r="D165" s="7" t="s">
        <v>59</v>
      </c>
      <c r="E165" s="7" t="s">
        <v>60</v>
      </c>
      <c r="F165" t="s">
        <v>335</v>
      </c>
      <c r="H165" t="s">
        <v>245</v>
      </c>
      <c r="I165" t="s">
        <v>23</v>
      </c>
      <c r="J165">
        <v>70</v>
      </c>
      <c r="K165" t="s">
        <v>27</v>
      </c>
      <c r="L165">
        <v>5.6</v>
      </c>
      <c r="M165">
        <v>5.6</v>
      </c>
      <c r="N165" t="s">
        <v>150</v>
      </c>
      <c r="O165">
        <v>0.1</v>
      </c>
      <c r="P165">
        <v>20</v>
      </c>
      <c r="Q165">
        <v>400</v>
      </c>
      <c r="S165" t="str">
        <f t="shared" si="1"/>
        <v>Downsampled 11n09001-guesthost_Tyr-70_mV-600_Hz-rpt_6.atf</v>
      </c>
    </row>
    <row r="166" spans="1:19" x14ac:dyDescent="0.2">
      <c r="A166" t="s">
        <v>13</v>
      </c>
      <c r="B166" s="8" t="s">
        <v>429</v>
      </c>
      <c r="C166" t="s">
        <v>315</v>
      </c>
      <c r="D166" s="7" t="s">
        <v>59</v>
      </c>
      <c r="E166" s="7" t="s">
        <v>60</v>
      </c>
      <c r="F166" t="s">
        <v>336</v>
      </c>
      <c r="H166" t="s">
        <v>245</v>
      </c>
      <c r="I166" t="s">
        <v>23</v>
      </c>
      <c r="J166">
        <v>70</v>
      </c>
      <c r="K166" t="s">
        <v>27</v>
      </c>
      <c r="L166">
        <v>5.6</v>
      </c>
      <c r="M166">
        <v>5.6</v>
      </c>
      <c r="N166" t="s">
        <v>150</v>
      </c>
      <c r="O166">
        <v>0.1</v>
      </c>
      <c r="P166">
        <v>20</v>
      </c>
      <c r="Q166">
        <v>400</v>
      </c>
      <c r="S166" t="str">
        <f t="shared" si="1"/>
        <v>Downsampled 11n09001-guesthost_Tyr-70_mV-600_Hz-rpt_7.atf</v>
      </c>
    </row>
    <row r="167" spans="1:19" x14ac:dyDescent="0.2">
      <c r="A167" t="s">
        <v>13</v>
      </c>
      <c r="B167" s="8" t="s">
        <v>430</v>
      </c>
      <c r="C167" t="s">
        <v>315</v>
      </c>
      <c r="D167" s="7" t="s">
        <v>59</v>
      </c>
      <c r="E167" s="7" t="s">
        <v>60</v>
      </c>
      <c r="F167" t="s">
        <v>337</v>
      </c>
      <c r="H167" t="s">
        <v>245</v>
      </c>
      <c r="I167" t="s">
        <v>23</v>
      </c>
      <c r="J167">
        <v>70</v>
      </c>
      <c r="K167" t="s">
        <v>27</v>
      </c>
      <c r="L167">
        <v>5.6</v>
      </c>
      <c r="M167">
        <v>5.6</v>
      </c>
      <c r="N167" t="s">
        <v>150</v>
      </c>
      <c r="O167">
        <v>0.1</v>
      </c>
      <c r="P167">
        <v>20</v>
      </c>
      <c r="Q167">
        <v>400</v>
      </c>
      <c r="S167" t="str">
        <f t="shared" si="1"/>
        <v>Downsampled 11n09002-guesthost_Tyr-70_mV-600_Hz-rpt_1.atf</v>
      </c>
    </row>
    <row r="168" spans="1:19" x14ac:dyDescent="0.2">
      <c r="A168" t="s">
        <v>13</v>
      </c>
      <c r="B168" s="8" t="s">
        <v>431</v>
      </c>
      <c r="C168" t="s">
        <v>315</v>
      </c>
      <c r="D168" s="7" t="s">
        <v>59</v>
      </c>
      <c r="E168" s="7" t="s">
        <v>60</v>
      </c>
      <c r="F168" t="s">
        <v>338</v>
      </c>
      <c r="H168" t="s">
        <v>245</v>
      </c>
      <c r="I168" t="s">
        <v>23</v>
      </c>
      <c r="J168">
        <v>70</v>
      </c>
      <c r="K168" t="s">
        <v>27</v>
      </c>
      <c r="L168">
        <v>5.6</v>
      </c>
      <c r="M168">
        <v>5.6</v>
      </c>
      <c r="N168" t="s">
        <v>150</v>
      </c>
      <c r="O168">
        <v>0.1</v>
      </c>
      <c r="P168">
        <v>20</v>
      </c>
      <c r="Q168">
        <v>400</v>
      </c>
      <c r="S168" t="str">
        <f t="shared" si="1"/>
        <v>Downsampled 11n09002-guesthost_Tyr-70_mV-600_Hz-rpt_2.atf</v>
      </c>
    </row>
    <row r="169" spans="1:19" x14ac:dyDescent="0.2">
      <c r="A169" t="s">
        <v>13</v>
      </c>
      <c r="B169" s="8" t="s">
        <v>432</v>
      </c>
      <c r="C169" t="s">
        <v>315</v>
      </c>
      <c r="D169" s="7" t="s">
        <v>59</v>
      </c>
      <c r="E169" s="7" t="s">
        <v>60</v>
      </c>
      <c r="F169" t="s">
        <v>339</v>
      </c>
      <c r="H169" t="s">
        <v>245</v>
      </c>
      <c r="I169" t="s">
        <v>23</v>
      </c>
      <c r="J169">
        <v>70</v>
      </c>
      <c r="K169" t="s">
        <v>27</v>
      </c>
      <c r="L169">
        <v>5.6</v>
      </c>
      <c r="M169">
        <v>5.6</v>
      </c>
      <c r="N169" t="s">
        <v>150</v>
      </c>
      <c r="O169">
        <v>0.1</v>
      </c>
      <c r="P169">
        <v>20</v>
      </c>
      <c r="Q169">
        <v>400</v>
      </c>
      <c r="S169" t="str">
        <f t="shared" si="1"/>
        <v>Downsampled 11n09002-guesthost_Tyr-70_mV-600_Hz-rpt_3.atf</v>
      </c>
    </row>
    <row r="170" spans="1:19" x14ac:dyDescent="0.2">
      <c r="A170" t="s">
        <v>13</v>
      </c>
      <c r="B170" s="8" t="s">
        <v>433</v>
      </c>
      <c r="C170" t="s">
        <v>315</v>
      </c>
      <c r="D170" s="7" t="s">
        <v>59</v>
      </c>
      <c r="E170" s="7" t="s">
        <v>60</v>
      </c>
      <c r="F170" t="s">
        <v>340</v>
      </c>
      <c r="H170" t="s">
        <v>245</v>
      </c>
      <c r="I170" t="s">
        <v>23</v>
      </c>
      <c r="J170">
        <v>70</v>
      </c>
      <c r="K170" t="s">
        <v>27</v>
      </c>
      <c r="L170">
        <v>5.6</v>
      </c>
      <c r="M170">
        <v>5.6</v>
      </c>
      <c r="N170" t="s">
        <v>150</v>
      </c>
      <c r="O170">
        <v>0.1</v>
      </c>
      <c r="P170">
        <v>20</v>
      </c>
      <c r="Q170">
        <v>400</v>
      </c>
      <c r="S170" t="str">
        <f t="shared" si="1"/>
        <v>Downsampled 11n09002-guesthost_Tyr-70_mV-600_Hz-rpt_4.atf</v>
      </c>
    </row>
    <row r="171" spans="1:19" x14ac:dyDescent="0.2">
      <c r="A171" t="s">
        <v>13</v>
      </c>
      <c r="B171" s="8" t="s">
        <v>434</v>
      </c>
      <c r="C171" t="s">
        <v>315</v>
      </c>
      <c r="D171" s="7" t="s">
        <v>59</v>
      </c>
      <c r="E171" s="7" t="s">
        <v>60</v>
      </c>
      <c r="F171" t="s">
        <v>341</v>
      </c>
      <c r="H171" t="s">
        <v>245</v>
      </c>
      <c r="I171" t="s">
        <v>23</v>
      </c>
      <c r="J171">
        <v>70</v>
      </c>
      <c r="K171" t="s">
        <v>27</v>
      </c>
      <c r="L171">
        <v>5.6</v>
      </c>
      <c r="M171">
        <v>5.6</v>
      </c>
      <c r="N171" t="s">
        <v>150</v>
      </c>
      <c r="O171">
        <v>0.1</v>
      </c>
      <c r="P171">
        <v>20</v>
      </c>
      <c r="Q171">
        <v>400</v>
      </c>
      <c r="S171" t="str">
        <f t="shared" si="1"/>
        <v>Downsampled 11n09002-guesthost_Tyr-70_mV-600_Hz-rpt_5.atf</v>
      </c>
    </row>
    <row r="172" spans="1:19" x14ac:dyDescent="0.2">
      <c r="A172" t="s">
        <v>13</v>
      </c>
      <c r="B172" s="8" t="s">
        <v>435</v>
      </c>
      <c r="C172" t="s">
        <v>315</v>
      </c>
      <c r="D172" s="7" t="s">
        <v>59</v>
      </c>
      <c r="E172" s="7" t="s">
        <v>60</v>
      </c>
      <c r="F172" t="s">
        <v>342</v>
      </c>
      <c r="H172" t="s">
        <v>245</v>
      </c>
      <c r="I172" t="s">
        <v>23</v>
      </c>
      <c r="J172">
        <v>70</v>
      </c>
      <c r="K172" t="s">
        <v>27</v>
      </c>
      <c r="L172">
        <v>5.6</v>
      </c>
      <c r="M172">
        <v>5.6</v>
      </c>
      <c r="N172" t="s">
        <v>150</v>
      </c>
      <c r="O172">
        <v>0.1</v>
      </c>
      <c r="P172">
        <v>20</v>
      </c>
      <c r="Q172">
        <v>400</v>
      </c>
      <c r="S172" t="str">
        <f t="shared" si="1"/>
        <v>Downsampled 11n09002-guesthost_Tyr-70_mV-600_Hz-rpt_6.atf</v>
      </c>
    </row>
    <row r="173" spans="1:19" x14ac:dyDescent="0.2">
      <c r="A173" t="s">
        <v>13</v>
      </c>
      <c r="B173" s="8" t="s">
        <v>436</v>
      </c>
      <c r="C173" t="s">
        <v>315</v>
      </c>
      <c r="D173" s="7" t="s">
        <v>59</v>
      </c>
      <c r="E173" s="7" t="s">
        <v>60</v>
      </c>
      <c r="F173" t="s">
        <v>343</v>
      </c>
      <c r="H173" t="s">
        <v>245</v>
      </c>
      <c r="I173" t="s">
        <v>23</v>
      </c>
      <c r="J173">
        <v>70</v>
      </c>
      <c r="K173" t="s">
        <v>27</v>
      </c>
      <c r="L173">
        <v>5.6</v>
      </c>
      <c r="M173">
        <v>5.6</v>
      </c>
      <c r="N173" t="s">
        <v>150</v>
      </c>
      <c r="O173">
        <v>0.1</v>
      </c>
      <c r="P173">
        <v>20</v>
      </c>
      <c r="Q173">
        <v>400</v>
      </c>
      <c r="S173" t="str">
        <f t="shared" si="1"/>
        <v>Downsampled 11n09002-guesthost_Tyr-70_mV-600_Hz-rpt_7.atf</v>
      </c>
    </row>
  </sheetData>
  <phoneticPr fontId="18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8C98B2-E4FD-894C-9871-4C318B494495}">
  <dimension ref="A1:D26"/>
  <sheetViews>
    <sheetView workbookViewId="0">
      <selection activeCell="D2" sqref="C2:D14"/>
    </sheetView>
  </sheetViews>
  <sheetFormatPr baseColWidth="10" defaultRowHeight="16" x14ac:dyDescent="0.2"/>
  <cols>
    <col min="2" max="2" width="12.1640625" bestFit="1" customWidth="1"/>
  </cols>
  <sheetData>
    <row r="1" spans="1:4" x14ac:dyDescent="0.2">
      <c r="A1" t="s">
        <v>346</v>
      </c>
      <c r="B1" t="s">
        <v>345</v>
      </c>
      <c r="C1" t="s">
        <v>20</v>
      </c>
      <c r="D1" t="s">
        <v>344</v>
      </c>
    </row>
    <row r="2" spans="1:4" x14ac:dyDescent="0.2">
      <c r="A2" t="s">
        <v>23</v>
      </c>
      <c r="B2" t="s">
        <v>13</v>
      </c>
      <c r="C2">
        <v>15</v>
      </c>
      <c r="D2">
        <v>1.07207715511322</v>
      </c>
    </row>
    <row r="3" spans="1:4" x14ac:dyDescent="0.2">
      <c r="A3" t="s">
        <v>23</v>
      </c>
      <c r="B3" t="s">
        <v>13</v>
      </c>
      <c r="C3">
        <v>20</v>
      </c>
      <c r="D3">
        <v>1.84024322032928</v>
      </c>
    </row>
    <row r="4" spans="1:4" x14ac:dyDescent="0.2">
      <c r="A4" t="s">
        <v>23</v>
      </c>
      <c r="B4" t="s">
        <v>13</v>
      </c>
      <c r="C4">
        <v>25</v>
      </c>
      <c r="D4">
        <v>1.73575115203857</v>
      </c>
    </row>
    <row r="5" spans="1:4" x14ac:dyDescent="0.2">
      <c r="A5" t="s">
        <v>23</v>
      </c>
      <c r="B5" t="s">
        <v>13</v>
      </c>
      <c r="C5">
        <v>30</v>
      </c>
      <c r="D5">
        <v>2.0944728851318302</v>
      </c>
    </row>
    <row r="6" spans="1:4" x14ac:dyDescent="0.2">
      <c r="A6" t="s">
        <v>23</v>
      </c>
      <c r="B6" t="s">
        <v>13</v>
      </c>
      <c r="C6">
        <v>35</v>
      </c>
      <c r="D6">
        <v>2.4441828727722101</v>
      </c>
    </row>
    <row r="7" spans="1:4" x14ac:dyDescent="0.2">
      <c r="A7" t="s">
        <v>23</v>
      </c>
      <c r="B7" t="s">
        <v>13</v>
      </c>
      <c r="C7">
        <v>40</v>
      </c>
      <c r="D7">
        <v>2.7057628631591801</v>
      </c>
    </row>
    <row r="8" spans="1:4" x14ac:dyDescent="0.2">
      <c r="A8" t="s">
        <v>23</v>
      </c>
      <c r="B8" t="s">
        <v>13</v>
      </c>
      <c r="C8">
        <v>50</v>
      </c>
      <c r="D8">
        <v>3.3459525108337398</v>
      </c>
    </row>
    <row r="9" spans="1:4" x14ac:dyDescent="0.2">
      <c r="A9" t="s">
        <v>23</v>
      </c>
      <c r="B9" t="s">
        <v>13</v>
      </c>
      <c r="C9">
        <v>60</v>
      </c>
      <c r="D9">
        <v>4.0377435684204102</v>
      </c>
    </row>
    <row r="10" spans="1:4" x14ac:dyDescent="0.2">
      <c r="A10" t="s">
        <v>23</v>
      </c>
      <c r="B10" t="s">
        <v>13</v>
      </c>
      <c r="C10">
        <v>65</v>
      </c>
      <c r="D10">
        <v>4.3841829299926696</v>
      </c>
    </row>
    <row r="11" spans="1:4" x14ac:dyDescent="0.2">
      <c r="A11" t="s">
        <v>23</v>
      </c>
      <c r="B11" t="s">
        <v>13</v>
      </c>
      <c r="C11">
        <v>70</v>
      </c>
      <c r="D11">
        <v>5.5954227447509703</v>
      </c>
    </row>
    <row r="12" spans="1:4" x14ac:dyDescent="0.2">
      <c r="A12" t="s">
        <v>23</v>
      </c>
      <c r="B12" t="s">
        <v>13</v>
      </c>
      <c r="C12">
        <v>75</v>
      </c>
      <c r="D12">
        <v>4.9771194458007804</v>
      </c>
    </row>
    <row r="13" spans="1:4" x14ac:dyDescent="0.2">
      <c r="A13" t="s">
        <v>23</v>
      </c>
      <c r="B13" t="s">
        <v>13</v>
      </c>
      <c r="C13">
        <v>80</v>
      </c>
      <c r="D13">
        <v>5.1956191062927202</v>
      </c>
    </row>
    <row r="14" spans="1:4" x14ac:dyDescent="0.2">
      <c r="A14" t="s">
        <v>23</v>
      </c>
      <c r="B14" t="s">
        <v>13</v>
      </c>
      <c r="C14">
        <v>90</v>
      </c>
      <c r="D14">
        <v>6.5414180755615199</v>
      </c>
    </row>
    <row r="15" spans="1:4" x14ac:dyDescent="0.2">
      <c r="A15" t="s">
        <v>23</v>
      </c>
      <c r="B15" t="s">
        <v>11</v>
      </c>
      <c r="C15">
        <v>10</v>
      </c>
      <c r="D15">
        <v>0.66517639160156306</v>
      </c>
    </row>
    <row r="16" spans="1:4" x14ac:dyDescent="0.2">
      <c r="A16" t="s">
        <v>23</v>
      </c>
      <c r="B16" t="s">
        <v>11</v>
      </c>
      <c r="C16">
        <v>15</v>
      </c>
      <c r="D16">
        <v>1.0185406208038299</v>
      </c>
    </row>
    <row r="17" spans="1:4" x14ac:dyDescent="0.2">
      <c r="A17" t="s">
        <v>23</v>
      </c>
      <c r="B17" t="s">
        <v>11</v>
      </c>
      <c r="C17">
        <v>20</v>
      </c>
      <c r="D17">
        <v>1.2935606241226201</v>
      </c>
    </row>
    <row r="18" spans="1:4" x14ac:dyDescent="0.2">
      <c r="A18" t="s">
        <v>23</v>
      </c>
      <c r="B18" t="s">
        <v>11</v>
      </c>
      <c r="C18">
        <v>25</v>
      </c>
      <c r="D18">
        <v>1.6348180770873999</v>
      </c>
    </row>
    <row r="19" spans="1:4" x14ac:dyDescent="0.2">
      <c r="A19" t="s">
        <v>23</v>
      </c>
      <c r="B19" t="s">
        <v>11</v>
      </c>
      <c r="C19">
        <v>30</v>
      </c>
      <c r="D19">
        <v>2.04004526138305</v>
      </c>
    </row>
    <row r="20" spans="1:4" x14ac:dyDescent="0.2">
      <c r="A20" t="s">
        <v>23</v>
      </c>
      <c r="B20" t="s">
        <v>11</v>
      </c>
      <c r="C20">
        <v>40</v>
      </c>
      <c r="D20">
        <v>2.9066095352172798</v>
      </c>
    </row>
    <row r="21" spans="1:4" x14ac:dyDescent="0.2">
      <c r="A21" t="s">
        <v>23</v>
      </c>
      <c r="B21" t="s">
        <v>11</v>
      </c>
      <c r="C21">
        <v>50</v>
      </c>
      <c r="D21">
        <v>3.2220287322997998</v>
      </c>
    </row>
    <row r="22" spans="1:4" x14ac:dyDescent="0.2">
      <c r="A22" t="s">
        <v>23</v>
      </c>
      <c r="B22" t="s">
        <v>11</v>
      </c>
      <c r="C22">
        <v>60</v>
      </c>
      <c r="D22">
        <v>3.8447961807250901</v>
      </c>
    </row>
    <row r="23" spans="1:4" x14ac:dyDescent="0.2">
      <c r="A23" t="s">
        <v>23</v>
      </c>
      <c r="B23" t="s">
        <v>11</v>
      </c>
      <c r="C23">
        <v>70</v>
      </c>
      <c r="D23">
        <v>4.6429948806762704</v>
      </c>
    </row>
    <row r="24" spans="1:4" x14ac:dyDescent="0.2">
      <c r="A24" t="s">
        <v>23</v>
      </c>
      <c r="B24" t="s">
        <v>11</v>
      </c>
      <c r="C24">
        <v>70</v>
      </c>
      <c r="D24">
        <v>4.8516674041748002</v>
      </c>
    </row>
    <row r="25" spans="1:4" x14ac:dyDescent="0.2">
      <c r="A25" t="s">
        <v>23</v>
      </c>
      <c r="B25" t="s">
        <v>11</v>
      </c>
      <c r="C25">
        <v>75</v>
      </c>
      <c r="D25">
        <v>4.8359022140502903</v>
      </c>
    </row>
    <row r="26" spans="1:4" x14ac:dyDescent="0.2">
      <c r="A26" t="s">
        <v>23</v>
      </c>
      <c r="B26" t="s">
        <v>11</v>
      </c>
      <c r="C26">
        <v>80</v>
      </c>
      <c r="D26">
        <v>5.1615180969238201</v>
      </c>
    </row>
  </sheetData>
  <sortState xmlns:xlrd2="http://schemas.microsoft.com/office/spreadsheetml/2017/richdata2" ref="C2:C14">
    <sortCondition ref="C2:C14"/>
  </sortState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38AD8C-CC99-CF40-8B0F-1BB3DA84E437}">
  <dimension ref="A1:AB197"/>
  <sheetViews>
    <sheetView topLeftCell="A142" zoomScale="70" zoomScaleNormal="70" workbookViewId="0">
      <selection activeCell="M201" sqref="M201"/>
    </sheetView>
  </sheetViews>
  <sheetFormatPr baseColWidth="10" defaultColWidth="11.1640625" defaultRowHeight="16" x14ac:dyDescent="0.2"/>
  <sheetData>
    <row r="1" spans="1:4" x14ac:dyDescent="0.2">
      <c r="A1" t="s">
        <v>7</v>
      </c>
    </row>
    <row r="2" spans="1:4" x14ac:dyDescent="0.2">
      <c r="A2" t="s">
        <v>33</v>
      </c>
      <c r="B2" t="s">
        <v>34</v>
      </c>
      <c r="C2" t="s">
        <v>35</v>
      </c>
      <c r="D2" t="s">
        <v>36</v>
      </c>
    </row>
    <row r="3" spans="1:4" x14ac:dyDescent="0.2">
      <c r="A3">
        <v>0</v>
      </c>
      <c r="B3">
        <v>0</v>
      </c>
      <c r="C3">
        <f>B3-B$6</f>
        <v>4.4219999999999997</v>
      </c>
      <c r="D3" s="3">
        <f>B3/B$6</f>
        <v>0</v>
      </c>
    </row>
    <row r="4" spans="1:4" x14ac:dyDescent="0.2">
      <c r="A4">
        <v>1</v>
      </c>
      <c r="B4">
        <v>-1.0229999999999999</v>
      </c>
      <c r="C4">
        <f t="shared" ref="C4:C6" si="0">B4-B$6</f>
        <v>3.399</v>
      </c>
      <c r="D4" s="3">
        <f t="shared" ref="D4:D6" si="1">B4/B$6</f>
        <v>0.23134328358208955</v>
      </c>
    </row>
    <row r="5" spans="1:4" x14ac:dyDescent="0.2">
      <c r="A5">
        <v>2</v>
      </c>
      <c r="B5">
        <v>-2.456</v>
      </c>
      <c r="C5">
        <f t="shared" si="0"/>
        <v>1.9659999999999997</v>
      </c>
      <c r="D5" s="3">
        <f t="shared" si="1"/>
        <v>0.55540479421076439</v>
      </c>
    </row>
    <row r="6" spans="1:4" x14ac:dyDescent="0.2">
      <c r="A6">
        <v>3</v>
      </c>
      <c r="B6">
        <v>-4.4219999999999997</v>
      </c>
      <c r="C6">
        <f t="shared" si="0"/>
        <v>0</v>
      </c>
      <c r="D6" s="3">
        <f t="shared" si="1"/>
        <v>1</v>
      </c>
    </row>
    <row r="8" spans="1:4" x14ac:dyDescent="0.2">
      <c r="A8" t="s">
        <v>8</v>
      </c>
    </row>
    <row r="9" spans="1:4" x14ac:dyDescent="0.2">
      <c r="A9" t="s">
        <v>33</v>
      </c>
      <c r="B9" t="s">
        <v>34</v>
      </c>
      <c r="C9" t="s">
        <v>35</v>
      </c>
      <c r="D9" t="s">
        <v>36</v>
      </c>
    </row>
    <row r="10" spans="1:4" x14ac:dyDescent="0.2">
      <c r="A10">
        <v>0</v>
      </c>
      <c r="B10">
        <v>0</v>
      </c>
      <c r="C10">
        <f>B10-B$13</f>
        <v>4.63</v>
      </c>
      <c r="D10" s="3">
        <f>B10/B$13</f>
        <v>0</v>
      </c>
    </row>
    <row r="11" spans="1:4" x14ac:dyDescent="0.2">
      <c r="A11">
        <v>1</v>
      </c>
      <c r="B11">
        <v>-0.70050000000000001</v>
      </c>
      <c r="C11">
        <f>B11-B$13</f>
        <v>3.9295</v>
      </c>
      <c r="D11" s="3">
        <f>B11/B$13</f>
        <v>0.15129589632829374</v>
      </c>
    </row>
    <row r="12" spans="1:4" x14ac:dyDescent="0.2">
      <c r="A12">
        <v>2</v>
      </c>
      <c r="B12">
        <v>-2.1640000000000001</v>
      </c>
      <c r="C12">
        <f>B12-B$13</f>
        <v>2.4659999999999997</v>
      </c>
      <c r="D12" s="3">
        <f>B12/B$13</f>
        <v>0.46738660907127433</v>
      </c>
    </row>
    <row r="13" spans="1:4" x14ac:dyDescent="0.2">
      <c r="A13">
        <v>3</v>
      </c>
      <c r="B13">
        <v>-4.63</v>
      </c>
      <c r="C13">
        <f>B13-B$13</f>
        <v>0</v>
      </c>
      <c r="D13" s="3">
        <f>B13/B$13</f>
        <v>1</v>
      </c>
    </row>
    <row r="15" spans="1:4" x14ac:dyDescent="0.2">
      <c r="A15" t="s">
        <v>9</v>
      </c>
    </row>
    <row r="16" spans="1:4" x14ac:dyDescent="0.2">
      <c r="A16" t="s">
        <v>33</v>
      </c>
      <c r="B16" t="s">
        <v>34</v>
      </c>
      <c r="C16" t="s">
        <v>35</v>
      </c>
      <c r="D16" t="s">
        <v>36</v>
      </c>
    </row>
    <row r="17" spans="1:4" x14ac:dyDescent="0.2">
      <c r="A17">
        <v>0</v>
      </c>
      <c r="B17">
        <v>0</v>
      </c>
      <c r="C17">
        <f>B17-B$20</f>
        <v>4.4710000000000001</v>
      </c>
      <c r="D17" s="3">
        <f>B17/B$13</f>
        <v>0</v>
      </c>
    </row>
    <row r="18" spans="1:4" x14ac:dyDescent="0.2">
      <c r="A18">
        <v>1</v>
      </c>
      <c r="B18">
        <v>-0.79349999999999998</v>
      </c>
      <c r="C18">
        <f>B18-B$20</f>
        <v>3.6775000000000002</v>
      </c>
      <c r="D18" s="3">
        <f>B18/B$20</f>
        <v>0.17747707447998209</v>
      </c>
    </row>
    <row r="19" spans="1:4" x14ac:dyDescent="0.2">
      <c r="A19">
        <v>2</v>
      </c>
      <c r="B19">
        <v>-2.0129999999999999</v>
      </c>
      <c r="C19">
        <f>B19-B$20</f>
        <v>2.4580000000000002</v>
      </c>
      <c r="D19" s="3">
        <f>B19/B$20</f>
        <v>0.45023484679042719</v>
      </c>
    </row>
    <row r="20" spans="1:4" x14ac:dyDescent="0.2">
      <c r="A20">
        <v>3</v>
      </c>
      <c r="B20">
        <v>-4.4710000000000001</v>
      </c>
      <c r="C20">
        <f>B20-B$20</f>
        <v>0</v>
      </c>
      <c r="D20" s="3">
        <f>B20/B$20</f>
        <v>1</v>
      </c>
    </row>
    <row r="22" spans="1:4" x14ac:dyDescent="0.2">
      <c r="A22" t="s">
        <v>10</v>
      </c>
    </row>
    <row r="23" spans="1:4" x14ac:dyDescent="0.2">
      <c r="A23" t="s">
        <v>33</v>
      </c>
      <c r="B23" t="s">
        <v>34</v>
      </c>
      <c r="C23" t="s">
        <v>35</v>
      </c>
      <c r="D23" t="s">
        <v>36</v>
      </c>
    </row>
    <row r="24" spans="1:4" x14ac:dyDescent="0.2">
      <c r="A24">
        <v>0</v>
      </c>
      <c r="B24">
        <v>0</v>
      </c>
      <c r="C24">
        <f>B24-B$27</f>
        <v>4.8840000000000003</v>
      </c>
      <c r="D24" s="3">
        <f>B24/B$27</f>
        <v>0</v>
      </c>
    </row>
    <row r="25" spans="1:4" x14ac:dyDescent="0.2">
      <c r="A25">
        <v>1</v>
      </c>
      <c r="B25">
        <v>-1.145</v>
      </c>
      <c r="C25">
        <f>B25-B$27</f>
        <v>3.7390000000000003</v>
      </c>
      <c r="D25" s="3">
        <f t="shared" ref="D25:D27" si="2">B25/B$27</f>
        <v>0.23443898443898442</v>
      </c>
    </row>
    <row r="26" spans="1:4" x14ac:dyDescent="0.2">
      <c r="A26">
        <v>2</v>
      </c>
      <c r="B26">
        <v>-3.137</v>
      </c>
      <c r="C26">
        <f>B26-B$27</f>
        <v>1.7470000000000003</v>
      </c>
      <c r="D26" s="3">
        <f t="shared" si="2"/>
        <v>0.64230139230139227</v>
      </c>
    </row>
    <row r="27" spans="1:4" x14ac:dyDescent="0.2">
      <c r="A27">
        <v>3</v>
      </c>
      <c r="B27">
        <v>-4.8840000000000003</v>
      </c>
      <c r="C27">
        <f>B27-B$27</f>
        <v>0</v>
      </c>
      <c r="D27" s="3">
        <f t="shared" si="2"/>
        <v>1</v>
      </c>
    </row>
    <row r="29" spans="1:4" x14ac:dyDescent="0.2">
      <c r="A29" t="s">
        <v>11</v>
      </c>
    </row>
    <row r="30" spans="1:4" x14ac:dyDescent="0.2">
      <c r="A30" t="s">
        <v>33</v>
      </c>
      <c r="B30" t="s">
        <v>34</v>
      </c>
      <c r="C30" t="s">
        <v>35</v>
      </c>
      <c r="D30" t="s">
        <v>36</v>
      </c>
    </row>
    <row r="31" spans="1:4" x14ac:dyDescent="0.2">
      <c r="A31">
        <v>0</v>
      </c>
      <c r="B31">
        <v>0</v>
      </c>
      <c r="C31">
        <f>B31-B$34</f>
        <v>4.6500000000000004</v>
      </c>
      <c r="D31" s="3">
        <f>B31/B$34</f>
        <v>0</v>
      </c>
    </row>
    <row r="32" spans="1:4" x14ac:dyDescent="0.2">
      <c r="A32">
        <v>1</v>
      </c>
      <c r="B32">
        <v>-0.6</v>
      </c>
      <c r="C32">
        <f>B32-B$34</f>
        <v>4.0500000000000007</v>
      </c>
      <c r="D32" s="3">
        <f t="shared" ref="D32:D34" si="3">B32/B$34</f>
        <v>0.12903225806451613</v>
      </c>
    </row>
    <row r="33" spans="1:8" x14ac:dyDescent="0.2">
      <c r="A33">
        <v>2</v>
      </c>
      <c r="B33">
        <v>-1.9</v>
      </c>
      <c r="C33">
        <f>B33-B$34</f>
        <v>2.7500000000000004</v>
      </c>
      <c r="D33" s="3">
        <f t="shared" si="3"/>
        <v>0.40860215053763438</v>
      </c>
    </row>
    <row r="34" spans="1:8" x14ac:dyDescent="0.2">
      <c r="A34">
        <v>3</v>
      </c>
      <c r="B34">
        <v>-4.6500000000000004</v>
      </c>
      <c r="C34">
        <f>B34-B$34</f>
        <v>0</v>
      </c>
      <c r="D34" s="3">
        <f t="shared" si="3"/>
        <v>1</v>
      </c>
    </row>
    <row r="36" spans="1:8" x14ac:dyDescent="0.2">
      <c r="A36" t="s">
        <v>12</v>
      </c>
    </row>
    <row r="37" spans="1:8" x14ac:dyDescent="0.2">
      <c r="A37" t="s">
        <v>33</v>
      </c>
      <c r="B37" t="s">
        <v>34</v>
      </c>
      <c r="C37" t="s">
        <v>35</v>
      </c>
      <c r="D37" t="s">
        <v>36</v>
      </c>
    </row>
    <row r="38" spans="1:8" x14ac:dyDescent="0.2">
      <c r="A38">
        <v>0</v>
      </c>
      <c r="B38">
        <v>0</v>
      </c>
      <c r="C38">
        <f>B38-B$41</f>
        <v>4.4210000000000003</v>
      </c>
      <c r="D38" s="3">
        <f>B38/B$41</f>
        <v>0</v>
      </c>
    </row>
    <row r="39" spans="1:8" x14ac:dyDescent="0.2">
      <c r="A39">
        <v>1</v>
      </c>
      <c r="B39">
        <v>-0.61029999999999995</v>
      </c>
      <c r="C39">
        <f>B39-B$41</f>
        <v>3.8107000000000002</v>
      </c>
      <c r="D39" s="3">
        <f>B39/B$41</f>
        <v>0.13804569102013117</v>
      </c>
    </row>
    <row r="40" spans="1:8" x14ac:dyDescent="0.2">
      <c r="A40">
        <v>2</v>
      </c>
      <c r="B40">
        <v>-1.865</v>
      </c>
      <c r="C40">
        <f>B40-B$41</f>
        <v>2.556</v>
      </c>
      <c r="D40" s="3">
        <f>B40/B$41</f>
        <v>0.42185026012214427</v>
      </c>
    </row>
    <row r="41" spans="1:8" x14ac:dyDescent="0.2">
      <c r="A41">
        <v>3</v>
      </c>
      <c r="B41">
        <v>-4.4210000000000003</v>
      </c>
      <c r="C41">
        <f>B41-B$41</f>
        <v>0</v>
      </c>
      <c r="D41" s="3">
        <f>B41/B$41</f>
        <v>1</v>
      </c>
    </row>
    <row r="43" spans="1:8" x14ac:dyDescent="0.2">
      <c r="A43" t="s">
        <v>13</v>
      </c>
      <c r="E43" t="s">
        <v>13</v>
      </c>
    </row>
    <row r="44" spans="1:8" x14ac:dyDescent="0.2">
      <c r="A44" t="s">
        <v>33</v>
      </c>
      <c r="B44" t="s">
        <v>34</v>
      </c>
      <c r="C44" t="s">
        <v>35</v>
      </c>
      <c r="D44" t="s">
        <v>36</v>
      </c>
      <c r="E44" t="s">
        <v>33</v>
      </c>
      <c r="F44" t="s">
        <v>34</v>
      </c>
      <c r="G44" t="s">
        <v>35</v>
      </c>
      <c r="H44" t="s">
        <v>36</v>
      </c>
    </row>
    <row r="45" spans="1:8" x14ac:dyDescent="0.2">
      <c r="A45">
        <v>0</v>
      </c>
      <c r="B45">
        <v>0</v>
      </c>
      <c r="C45">
        <f>B45-B$48</f>
        <v>5.3890000000000002</v>
      </c>
      <c r="D45" s="3">
        <f>B45/B$48</f>
        <v>0</v>
      </c>
      <c r="E45">
        <v>0</v>
      </c>
      <c r="F45">
        <v>0</v>
      </c>
      <c r="G45">
        <f>F45-F$48</f>
        <v>4.6349999999999998</v>
      </c>
      <c r="H45" s="3">
        <f>F45/F$48</f>
        <v>0</v>
      </c>
    </row>
    <row r="46" spans="1:8" x14ac:dyDescent="0.2">
      <c r="A46">
        <v>1</v>
      </c>
      <c r="B46">
        <v>-1.046</v>
      </c>
      <c r="C46">
        <f>B46-B$48</f>
        <v>4.343</v>
      </c>
      <c r="D46" s="3">
        <f>B46/B$48</f>
        <v>0.19409909074039711</v>
      </c>
      <c r="E46">
        <v>1</v>
      </c>
      <c r="F46">
        <v>-0.83550000000000002</v>
      </c>
      <c r="G46">
        <f>F46-F$48</f>
        <v>3.7994999999999997</v>
      </c>
      <c r="H46" s="3">
        <f>F46/F$48</f>
        <v>0.18025889967637543</v>
      </c>
    </row>
    <row r="47" spans="1:8" x14ac:dyDescent="0.2">
      <c r="A47">
        <v>2</v>
      </c>
      <c r="B47">
        <v>-2.57</v>
      </c>
      <c r="C47">
        <f>B47-B$48</f>
        <v>2.8190000000000004</v>
      </c>
      <c r="D47" s="3">
        <f>B47/B$48</f>
        <v>0.47689738355910183</v>
      </c>
      <c r="E47">
        <v>2</v>
      </c>
      <c r="F47">
        <v>-2.355</v>
      </c>
      <c r="G47">
        <f>F47-F$48</f>
        <v>2.2799999999999998</v>
      </c>
      <c r="H47" s="3">
        <f>F47/F$48</f>
        <v>0.50809061488673146</v>
      </c>
    </row>
    <row r="48" spans="1:8" x14ac:dyDescent="0.2">
      <c r="A48">
        <v>3</v>
      </c>
      <c r="B48">
        <v>-5.3890000000000002</v>
      </c>
      <c r="C48">
        <f>B48-B$48</f>
        <v>0</v>
      </c>
      <c r="D48" s="3">
        <f>B48/B$48</f>
        <v>1</v>
      </c>
      <c r="E48">
        <v>3</v>
      </c>
      <c r="F48">
        <v>-4.6349999999999998</v>
      </c>
      <c r="G48">
        <f>F48-F$48</f>
        <v>0</v>
      </c>
      <c r="H48" s="3">
        <f>F48/F$48</f>
        <v>1</v>
      </c>
    </row>
    <row r="50" spans="1:8" x14ac:dyDescent="0.2">
      <c r="A50" t="s">
        <v>37</v>
      </c>
    </row>
    <row r="51" spans="1:8" x14ac:dyDescent="0.2">
      <c r="A51" t="s">
        <v>33</v>
      </c>
      <c r="B51" t="s">
        <v>34</v>
      </c>
      <c r="C51" t="s">
        <v>35</v>
      </c>
      <c r="D51" t="s">
        <v>36</v>
      </c>
      <c r="E51" t="s">
        <v>33</v>
      </c>
      <c r="F51" t="s">
        <v>34</v>
      </c>
      <c r="G51" t="s">
        <v>35</v>
      </c>
      <c r="H51" t="s">
        <v>36</v>
      </c>
    </row>
    <row r="52" spans="1:8" x14ac:dyDescent="0.2">
      <c r="A52">
        <v>0</v>
      </c>
      <c r="B52">
        <v>0</v>
      </c>
      <c r="C52">
        <f>B52-B$55</f>
        <v>4.5940000000000003</v>
      </c>
      <c r="D52" s="3">
        <f>B52/B$55</f>
        <v>0</v>
      </c>
      <c r="E52">
        <v>0</v>
      </c>
      <c r="F52">
        <v>0</v>
      </c>
      <c r="G52">
        <f>F52-F$55</f>
        <v>3.6949999999999998</v>
      </c>
      <c r="H52" s="3">
        <f>F52/F$55</f>
        <v>0</v>
      </c>
    </row>
    <row r="53" spans="1:8" x14ac:dyDescent="0.2">
      <c r="A53">
        <v>1</v>
      </c>
      <c r="B53">
        <v>-0.76880000000000004</v>
      </c>
      <c r="C53">
        <f>B53-B$55</f>
        <v>3.8252000000000002</v>
      </c>
      <c r="D53" s="3">
        <f t="shared" ref="D53:D55" si="4">B53/B$55</f>
        <v>0.16734871571615151</v>
      </c>
      <c r="E53">
        <v>1</v>
      </c>
      <c r="F53">
        <v>-0.71350000000000002</v>
      </c>
      <c r="G53">
        <f>F53-F$55</f>
        <v>2.9814999999999996</v>
      </c>
      <c r="H53" s="3">
        <f t="shared" ref="H53:H55" si="5">F53/F$55</f>
        <v>0.19309878213802437</v>
      </c>
    </row>
    <row r="54" spans="1:8" x14ac:dyDescent="0.2">
      <c r="A54">
        <v>2</v>
      </c>
      <c r="B54">
        <v>-2.1539999999999999</v>
      </c>
      <c r="C54">
        <f>B54-B$55</f>
        <v>2.4400000000000004</v>
      </c>
      <c r="D54" s="3">
        <f t="shared" si="4"/>
        <v>0.4688724423160644</v>
      </c>
      <c r="E54">
        <v>2</v>
      </c>
      <c r="F54">
        <v>-2.0619999999999998</v>
      </c>
      <c r="G54">
        <f>F54-F$55</f>
        <v>1.633</v>
      </c>
      <c r="H54" s="3">
        <f t="shared" si="5"/>
        <v>0.55805142083897152</v>
      </c>
    </row>
    <row r="55" spans="1:8" x14ac:dyDescent="0.2">
      <c r="A55">
        <v>3</v>
      </c>
      <c r="B55">
        <v>-4.5940000000000003</v>
      </c>
      <c r="C55">
        <f>B55-B$55</f>
        <v>0</v>
      </c>
      <c r="D55" s="3">
        <f t="shared" si="4"/>
        <v>1</v>
      </c>
      <c r="E55">
        <v>3</v>
      </c>
      <c r="F55">
        <v>-3.6949999999999998</v>
      </c>
      <c r="G55">
        <f>F55-F$55</f>
        <v>0</v>
      </c>
      <c r="H55" s="3">
        <f t="shared" si="5"/>
        <v>1</v>
      </c>
    </row>
    <row r="56" spans="1:8" x14ac:dyDescent="0.2">
      <c r="D56" s="3"/>
    </row>
    <row r="57" spans="1:8" x14ac:dyDescent="0.2">
      <c r="A57" t="s">
        <v>39</v>
      </c>
      <c r="B57">
        <v>1</v>
      </c>
      <c r="F57">
        <v>2</v>
      </c>
    </row>
    <row r="58" spans="1:8" x14ac:dyDescent="0.2">
      <c r="A58" t="s">
        <v>33</v>
      </c>
      <c r="B58" t="s">
        <v>34</v>
      </c>
      <c r="C58" t="s">
        <v>35</v>
      </c>
      <c r="D58" t="s">
        <v>36</v>
      </c>
      <c r="E58" t="s">
        <v>33</v>
      </c>
      <c r="F58" t="s">
        <v>34</v>
      </c>
      <c r="G58" t="s">
        <v>35</v>
      </c>
      <c r="H58" t="s">
        <v>36</v>
      </c>
    </row>
    <row r="59" spans="1:8" x14ac:dyDescent="0.2">
      <c r="A59">
        <v>0</v>
      </c>
      <c r="B59">
        <v>0</v>
      </c>
      <c r="C59">
        <f>B59-B$62</f>
        <v>3.8639999999999999</v>
      </c>
      <c r="D59" s="3">
        <f>B59/B$62</f>
        <v>0</v>
      </c>
      <c r="E59">
        <v>0</v>
      </c>
      <c r="F59">
        <v>0</v>
      </c>
      <c r="G59">
        <f>F59-F$62</f>
        <v>3.407</v>
      </c>
      <c r="H59" s="3">
        <f>F59/F$62</f>
        <v>0</v>
      </c>
    </row>
    <row r="60" spans="1:8" x14ac:dyDescent="0.2">
      <c r="A60">
        <v>1</v>
      </c>
      <c r="B60">
        <v>-0.48599999999999999</v>
      </c>
      <c r="C60">
        <f t="shared" ref="C60:C62" si="6">B60-B$62</f>
        <v>3.3780000000000001</v>
      </c>
      <c r="D60" s="3">
        <f t="shared" ref="D60:D62" si="7">B60/B$62</f>
        <v>0.12577639751552794</v>
      </c>
      <c r="E60">
        <v>1</v>
      </c>
      <c r="F60">
        <v>-0.45600000000000002</v>
      </c>
      <c r="G60">
        <f t="shared" ref="G60:G62" si="8">F60-F$62</f>
        <v>2.9510000000000001</v>
      </c>
      <c r="H60" s="3">
        <f t="shared" ref="H60:H62" si="9">F60/F$62</f>
        <v>0.13384208981508658</v>
      </c>
    </row>
    <row r="61" spans="1:8" x14ac:dyDescent="0.2">
      <c r="A61">
        <v>2</v>
      </c>
      <c r="B61">
        <v>-1.8120000000000001</v>
      </c>
      <c r="C61">
        <f t="shared" si="6"/>
        <v>2.0519999999999996</v>
      </c>
      <c r="D61" s="3">
        <f t="shared" si="7"/>
        <v>0.46894409937888204</v>
      </c>
      <c r="E61">
        <v>2</v>
      </c>
      <c r="F61">
        <v>-1.7170000000000001</v>
      </c>
      <c r="G61">
        <f t="shared" si="8"/>
        <v>1.69</v>
      </c>
      <c r="H61" s="3">
        <f t="shared" si="9"/>
        <v>0.50396243029057819</v>
      </c>
    </row>
    <row r="62" spans="1:8" x14ac:dyDescent="0.2">
      <c r="A62">
        <v>3</v>
      </c>
      <c r="B62">
        <v>-3.8639999999999999</v>
      </c>
      <c r="C62">
        <f t="shared" si="6"/>
        <v>0</v>
      </c>
      <c r="D62" s="3">
        <f t="shared" si="7"/>
        <v>1</v>
      </c>
      <c r="E62">
        <v>3</v>
      </c>
      <c r="F62">
        <v>-3.407</v>
      </c>
      <c r="G62">
        <f t="shared" si="8"/>
        <v>0</v>
      </c>
      <c r="H62" s="3">
        <f t="shared" si="9"/>
        <v>1</v>
      </c>
    </row>
    <row r="64" spans="1:8" x14ac:dyDescent="0.2">
      <c r="A64" t="s">
        <v>38</v>
      </c>
    </row>
    <row r="65" spans="1:21" x14ac:dyDescent="0.2">
      <c r="A65" t="s">
        <v>33</v>
      </c>
      <c r="B65" t="s">
        <v>34</v>
      </c>
      <c r="C65" t="s">
        <v>35</v>
      </c>
      <c r="D65" t="s">
        <v>36</v>
      </c>
      <c r="E65" t="s">
        <v>33</v>
      </c>
      <c r="F65" t="s">
        <v>34</v>
      </c>
      <c r="G65" t="s">
        <v>35</v>
      </c>
      <c r="H65" t="s">
        <v>36</v>
      </c>
      <c r="I65" t="s">
        <v>33</v>
      </c>
      <c r="J65" t="s">
        <v>34</v>
      </c>
      <c r="K65" t="s">
        <v>35</v>
      </c>
      <c r="L65" t="s">
        <v>36</v>
      </c>
      <c r="M65" t="s">
        <v>33</v>
      </c>
      <c r="N65" t="s">
        <v>33</v>
      </c>
      <c r="O65" t="s">
        <v>34</v>
      </c>
      <c r="P65" t="s">
        <v>35</v>
      </c>
      <c r="Q65" t="s">
        <v>36</v>
      </c>
      <c r="R65" t="s">
        <v>33</v>
      </c>
      <c r="S65" t="s">
        <v>34</v>
      </c>
      <c r="T65" t="s">
        <v>35</v>
      </c>
      <c r="U65" t="s">
        <v>36</v>
      </c>
    </row>
    <row r="66" spans="1:21" x14ac:dyDescent="0.2">
      <c r="A66">
        <v>0</v>
      </c>
      <c r="B66">
        <v>0</v>
      </c>
      <c r="C66">
        <f>B66-B$69</f>
        <v>4.0759999999999996</v>
      </c>
      <c r="D66" s="3">
        <f>B66/B$69</f>
        <v>0</v>
      </c>
      <c r="E66">
        <v>0</v>
      </c>
      <c r="F66">
        <v>0</v>
      </c>
      <c r="G66">
        <f>F66-F$69</f>
        <v>3.75</v>
      </c>
      <c r="H66" s="3">
        <f>F66/F$68</f>
        <v>0</v>
      </c>
      <c r="I66">
        <v>0</v>
      </c>
      <c r="J66">
        <v>0</v>
      </c>
      <c r="K66">
        <f>J66-$J$69</f>
        <v>3.6080000000000001</v>
      </c>
      <c r="L66" s="3">
        <f>J66/J$69</f>
        <v>0</v>
      </c>
      <c r="M66">
        <v>0</v>
      </c>
      <c r="N66">
        <v>0</v>
      </c>
      <c r="O66">
        <v>0</v>
      </c>
      <c r="P66">
        <f>O66-$O$69</f>
        <v>3.49</v>
      </c>
      <c r="Q66" s="3">
        <f>O66/O$68</f>
        <v>0</v>
      </c>
      <c r="R66">
        <v>0</v>
      </c>
      <c r="S66">
        <v>0</v>
      </c>
      <c r="T66">
        <f>S66-$S$69</f>
        <v>3.6160000000000001</v>
      </c>
      <c r="U66" s="3">
        <f>S66/S$68</f>
        <v>0</v>
      </c>
    </row>
    <row r="67" spans="1:21" x14ac:dyDescent="0.2">
      <c r="A67">
        <v>1</v>
      </c>
      <c r="B67">
        <v>-0.78900000000000003</v>
      </c>
      <c r="C67">
        <f t="shared" ref="C67:C69" si="10">B67-B$69</f>
        <v>3.2869999999999995</v>
      </c>
      <c r="D67" s="3">
        <f t="shared" ref="D67:D69" si="11">B67/B$69</f>
        <v>0.19357212953876352</v>
      </c>
      <c r="E67">
        <v>1</v>
      </c>
      <c r="F67">
        <v>-0.48599999999999999</v>
      </c>
      <c r="G67">
        <f t="shared" ref="G67:G69" si="12">F67-F$69</f>
        <v>3.2640000000000002</v>
      </c>
      <c r="H67" s="3">
        <f>F67/F$68</f>
        <v>0.28774422735346356</v>
      </c>
      <c r="I67">
        <v>1</v>
      </c>
      <c r="J67">
        <v>-0.42049999999999998</v>
      </c>
      <c r="K67">
        <f t="shared" ref="K67:K69" si="13">J67-$J$69</f>
        <v>3.1875</v>
      </c>
      <c r="L67" s="3">
        <f>J67/J$69</f>
        <v>0.11654656319290464</v>
      </c>
      <c r="M67">
        <v>1</v>
      </c>
      <c r="N67">
        <v>1</v>
      </c>
      <c r="O67">
        <v>-0.48599999999999999</v>
      </c>
      <c r="P67">
        <f t="shared" ref="P67:P69" si="14">O67-$O$69</f>
        <v>3.0040000000000004</v>
      </c>
      <c r="Q67" s="3">
        <f>O67/O$68</f>
        <v>0.24239401496259352</v>
      </c>
      <c r="R67">
        <v>1</v>
      </c>
      <c r="S67">
        <v>-0.48599999999999999</v>
      </c>
      <c r="T67">
        <f t="shared" ref="T67:T69" si="15">S67-$S$69</f>
        <v>3.13</v>
      </c>
      <c r="U67" s="3">
        <f>S67/S$68</f>
        <v>0.23988153998025669</v>
      </c>
    </row>
    <row r="68" spans="1:21" x14ac:dyDescent="0.2">
      <c r="A68">
        <v>2</v>
      </c>
      <c r="B68">
        <v>-2.4329999999999998</v>
      </c>
      <c r="C68">
        <f t="shared" si="10"/>
        <v>1.6429999999999998</v>
      </c>
      <c r="D68" s="3">
        <f t="shared" si="11"/>
        <v>0.59690873405299316</v>
      </c>
      <c r="E68">
        <v>2</v>
      </c>
      <c r="F68">
        <v>-1.6890000000000001</v>
      </c>
      <c r="G68">
        <f t="shared" si="12"/>
        <v>2.0609999999999999</v>
      </c>
      <c r="H68" s="3">
        <f>F68/F$68</f>
        <v>1</v>
      </c>
      <c r="I68">
        <v>2</v>
      </c>
      <c r="J68">
        <v>-1.1970000000000001</v>
      </c>
      <c r="K68">
        <f t="shared" si="13"/>
        <v>2.411</v>
      </c>
      <c r="L68" s="3">
        <f>J68/J$69</f>
        <v>0.3317627494456763</v>
      </c>
      <c r="M68">
        <v>2</v>
      </c>
      <c r="N68">
        <v>2</v>
      </c>
      <c r="O68">
        <v>-2.0049999999999999</v>
      </c>
      <c r="P68">
        <f t="shared" si="14"/>
        <v>1.4850000000000003</v>
      </c>
      <c r="Q68" s="3">
        <f>O68/O$68</f>
        <v>1</v>
      </c>
      <c r="R68">
        <v>2</v>
      </c>
      <c r="S68">
        <v>-2.0259999999999998</v>
      </c>
      <c r="T68">
        <f t="shared" si="15"/>
        <v>1.5900000000000003</v>
      </c>
      <c r="U68" s="3">
        <f>S68/S$68</f>
        <v>1</v>
      </c>
    </row>
    <row r="69" spans="1:21" x14ac:dyDescent="0.2">
      <c r="A69">
        <v>3</v>
      </c>
      <c r="B69">
        <v>-4.0759999999999996</v>
      </c>
      <c r="C69">
        <f t="shared" si="10"/>
        <v>0</v>
      </c>
      <c r="D69" s="3">
        <f t="shared" si="11"/>
        <v>1</v>
      </c>
      <c r="E69">
        <v>3</v>
      </c>
      <c r="F69">
        <v>-3.75</v>
      </c>
      <c r="G69">
        <f t="shared" si="12"/>
        <v>0</v>
      </c>
      <c r="H69" s="3">
        <f>F69/F$68</f>
        <v>2.2202486678507993</v>
      </c>
      <c r="I69">
        <v>3</v>
      </c>
      <c r="J69">
        <v>-3.6080000000000001</v>
      </c>
      <c r="K69">
        <f t="shared" si="13"/>
        <v>0</v>
      </c>
      <c r="L69" s="3">
        <f>J69/J$69</f>
        <v>1</v>
      </c>
      <c r="M69">
        <v>3</v>
      </c>
      <c r="N69">
        <v>3</v>
      </c>
      <c r="O69">
        <v>-3.49</v>
      </c>
      <c r="P69">
        <f t="shared" si="14"/>
        <v>0</v>
      </c>
      <c r="Q69" s="3">
        <f>O69/O$68</f>
        <v>1.7406483790523692</v>
      </c>
      <c r="R69">
        <v>3</v>
      </c>
      <c r="S69">
        <v>-3.6160000000000001</v>
      </c>
      <c r="T69">
        <f t="shared" si="15"/>
        <v>0</v>
      </c>
      <c r="U69" s="3">
        <f>S69/S$68</f>
        <v>1.7847976307996054</v>
      </c>
    </row>
    <row r="72" spans="1:21" x14ac:dyDescent="0.2">
      <c r="A72" t="s">
        <v>40</v>
      </c>
    </row>
    <row r="73" spans="1:21" x14ac:dyDescent="0.2">
      <c r="A73" t="s">
        <v>33</v>
      </c>
      <c r="B73" t="s">
        <v>34</v>
      </c>
      <c r="C73" t="s">
        <v>35</v>
      </c>
      <c r="D73" t="s">
        <v>36</v>
      </c>
    </row>
    <row r="74" spans="1:21" x14ac:dyDescent="0.2">
      <c r="A74">
        <v>0</v>
      </c>
      <c r="B74">
        <v>0</v>
      </c>
      <c r="C74">
        <f>B74-B$77</f>
        <v>3.206</v>
      </c>
      <c r="D74" s="3">
        <f>B74/B$77</f>
        <v>0</v>
      </c>
    </row>
    <row r="75" spans="1:21" x14ac:dyDescent="0.2">
      <c r="A75">
        <v>1</v>
      </c>
      <c r="B75">
        <v>-0.62690000000000001</v>
      </c>
      <c r="C75">
        <f>B75-B$77</f>
        <v>2.5790999999999999</v>
      </c>
      <c r="D75" s="3">
        <f>B75/B$77</f>
        <v>0.19553961322520275</v>
      </c>
    </row>
    <row r="76" spans="1:21" x14ac:dyDescent="0.2">
      <c r="A76">
        <v>2</v>
      </c>
      <c r="B76">
        <v>-1.4490000000000001</v>
      </c>
      <c r="C76">
        <f>B76-B$77</f>
        <v>1.7569999999999999</v>
      </c>
      <c r="D76" s="3">
        <f>B76/B$77</f>
        <v>0.45196506550218341</v>
      </c>
    </row>
    <row r="77" spans="1:21" x14ac:dyDescent="0.2">
      <c r="A77">
        <v>3</v>
      </c>
      <c r="B77">
        <v>-3.206</v>
      </c>
      <c r="C77">
        <f>B77-B$77</f>
        <v>0</v>
      </c>
      <c r="D77" s="3">
        <f>B77/B$77</f>
        <v>1</v>
      </c>
    </row>
    <row r="80" spans="1:21" x14ac:dyDescent="0.2">
      <c r="A80" t="s">
        <v>41</v>
      </c>
      <c r="B80">
        <v>1</v>
      </c>
      <c r="F80">
        <v>2</v>
      </c>
      <c r="J80">
        <v>3</v>
      </c>
    </row>
    <row r="81" spans="1:28" x14ac:dyDescent="0.2">
      <c r="A81" t="s">
        <v>33</v>
      </c>
      <c r="B81" t="s">
        <v>34</v>
      </c>
      <c r="C81" t="s">
        <v>35</v>
      </c>
      <c r="D81" t="s">
        <v>36</v>
      </c>
      <c r="E81" t="s">
        <v>33</v>
      </c>
      <c r="F81" t="s">
        <v>34</v>
      </c>
      <c r="G81" t="s">
        <v>35</v>
      </c>
      <c r="H81" t="s">
        <v>36</v>
      </c>
      <c r="I81" t="s">
        <v>33</v>
      </c>
      <c r="J81" t="s">
        <v>34</v>
      </c>
      <c r="K81" t="s">
        <v>35</v>
      </c>
      <c r="L81" t="s">
        <v>36</v>
      </c>
    </row>
    <row r="82" spans="1:28" x14ac:dyDescent="0.2">
      <c r="A82">
        <v>0</v>
      </c>
      <c r="B82">
        <v>0</v>
      </c>
      <c r="C82">
        <f>B82-B$85</f>
        <v>3.492</v>
      </c>
      <c r="D82" s="3">
        <f>B82/B$85</f>
        <v>0</v>
      </c>
      <c r="E82">
        <v>0</v>
      </c>
      <c r="F82">
        <v>0</v>
      </c>
      <c r="G82">
        <f>F82-F$85</f>
        <v>3.9220000000000002</v>
      </c>
      <c r="H82" s="3">
        <f>F82/F$85</f>
        <v>0</v>
      </c>
      <c r="I82">
        <v>0</v>
      </c>
      <c r="J82">
        <v>0</v>
      </c>
      <c r="K82">
        <f>J82-J$85</f>
        <v>3.4169999999999998</v>
      </c>
      <c r="L82" s="3">
        <f>J82/J$85</f>
        <v>0</v>
      </c>
    </row>
    <row r="83" spans="1:28" x14ac:dyDescent="0.2">
      <c r="A83">
        <v>1</v>
      </c>
      <c r="B83">
        <v>-0.4864</v>
      </c>
      <c r="C83">
        <f t="shared" ref="C83:C85" si="16">B83-B$85</f>
        <v>3.0055999999999998</v>
      </c>
      <c r="D83" s="3">
        <f t="shared" ref="D83:D85" si="17">B83/B$85</f>
        <v>0.13928980526918672</v>
      </c>
      <c r="E83">
        <v>1</v>
      </c>
      <c r="F83">
        <v>-0.40849999999999997</v>
      </c>
      <c r="G83">
        <f t="shared" ref="G83:G85" si="18">F83-F$85</f>
        <v>3.5135000000000001</v>
      </c>
      <c r="H83" s="3">
        <f t="shared" ref="H83:H85" si="19">F83/F$85</f>
        <v>0.10415604283528811</v>
      </c>
      <c r="I83">
        <v>1</v>
      </c>
      <c r="J83">
        <v>-0.57669999999999999</v>
      </c>
      <c r="K83">
        <f t="shared" ref="K83:K85" si="20">J83-J$85</f>
        <v>2.8403</v>
      </c>
      <c r="L83" s="3">
        <f t="shared" ref="L83:L85" si="21">J83/J$85</f>
        <v>0.16877377816798361</v>
      </c>
    </row>
    <row r="84" spans="1:28" x14ac:dyDescent="0.2">
      <c r="A84">
        <v>2</v>
      </c>
      <c r="B84">
        <v>-1.8240000000000001</v>
      </c>
      <c r="C84">
        <f t="shared" si="16"/>
        <v>1.6679999999999999</v>
      </c>
      <c r="D84" s="3">
        <f t="shared" si="17"/>
        <v>0.5223367697594502</v>
      </c>
      <c r="E84">
        <v>2</v>
      </c>
      <c r="F84">
        <v>-1.798</v>
      </c>
      <c r="G84">
        <f t="shared" si="18"/>
        <v>2.1240000000000001</v>
      </c>
      <c r="H84" s="3">
        <f t="shared" si="19"/>
        <v>0.45843957164711879</v>
      </c>
      <c r="I84">
        <v>2</v>
      </c>
      <c r="J84">
        <v>-1.6639999999999999</v>
      </c>
      <c r="K84">
        <f t="shared" si="20"/>
        <v>1.7529999999999999</v>
      </c>
      <c r="L84" s="3">
        <f t="shared" si="21"/>
        <v>0.48697688030436054</v>
      </c>
    </row>
    <row r="85" spans="1:28" x14ac:dyDescent="0.2">
      <c r="A85">
        <v>3</v>
      </c>
      <c r="B85">
        <v>-3.492</v>
      </c>
      <c r="C85">
        <f t="shared" si="16"/>
        <v>0</v>
      </c>
      <c r="D85" s="3">
        <f t="shared" si="17"/>
        <v>1</v>
      </c>
      <c r="E85">
        <v>3</v>
      </c>
      <c r="F85">
        <v>-3.9220000000000002</v>
      </c>
      <c r="G85">
        <f t="shared" si="18"/>
        <v>0</v>
      </c>
      <c r="H85" s="3">
        <f t="shared" si="19"/>
        <v>1</v>
      </c>
      <c r="I85">
        <v>3</v>
      </c>
      <c r="J85">
        <v>-3.4169999999999998</v>
      </c>
      <c r="K85">
        <f t="shared" si="20"/>
        <v>0</v>
      </c>
      <c r="L85" s="3">
        <f t="shared" si="21"/>
        <v>1</v>
      </c>
    </row>
    <row r="88" spans="1:28" x14ac:dyDescent="0.2">
      <c r="A88" t="s">
        <v>42</v>
      </c>
      <c r="B88">
        <v>1</v>
      </c>
      <c r="F88">
        <v>2</v>
      </c>
      <c r="J88">
        <v>3</v>
      </c>
      <c r="N88">
        <v>4</v>
      </c>
      <c r="R88">
        <v>5</v>
      </c>
      <c r="V88">
        <v>6</v>
      </c>
      <c r="Z88">
        <v>7</v>
      </c>
    </row>
    <row r="89" spans="1:28" x14ac:dyDescent="0.2">
      <c r="A89" t="s">
        <v>33</v>
      </c>
      <c r="B89" t="s">
        <v>34</v>
      </c>
      <c r="C89" t="s">
        <v>35</v>
      </c>
      <c r="D89" t="s">
        <v>36</v>
      </c>
      <c r="E89" t="s">
        <v>33</v>
      </c>
      <c r="F89" t="s">
        <v>34</v>
      </c>
      <c r="G89" t="s">
        <v>35</v>
      </c>
      <c r="H89" t="s">
        <v>36</v>
      </c>
      <c r="I89" t="s">
        <v>33</v>
      </c>
      <c r="J89" t="s">
        <v>34</v>
      </c>
      <c r="K89" t="s">
        <v>35</v>
      </c>
      <c r="L89" t="s">
        <v>36</v>
      </c>
      <c r="M89" t="s">
        <v>33</v>
      </c>
      <c r="N89" t="s">
        <v>34</v>
      </c>
      <c r="O89" t="s">
        <v>35</v>
      </c>
      <c r="P89" t="s">
        <v>36</v>
      </c>
      <c r="Q89" t="s">
        <v>33</v>
      </c>
      <c r="R89" t="s">
        <v>34</v>
      </c>
      <c r="S89" t="s">
        <v>35</v>
      </c>
      <c r="T89" t="s">
        <v>36</v>
      </c>
      <c r="U89" t="s">
        <v>33</v>
      </c>
      <c r="V89" t="s">
        <v>34</v>
      </c>
      <c r="W89" t="s">
        <v>35</v>
      </c>
      <c r="X89" t="s">
        <v>36</v>
      </c>
      <c r="Y89" t="s">
        <v>33</v>
      </c>
      <c r="Z89" t="s">
        <v>34</v>
      </c>
      <c r="AA89" t="s">
        <v>35</v>
      </c>
      <c r="AB89" t="s">
        <v>36</v>
      </c>
    </row>
    <row r="90" spans="1:28" x14ac:dyDescent="0.2">
      <c r="A90">
        <v>0</v>
      </c>
      <c r="B90">
        <v>0</v>
      </c>
      <c r="C90">
        <f>B90-B$93</f>
        <v>2.9449999999999998</v>
      </c>
      <c r="D90" s="3">
        <f>B90/B$93</f>
        <v>0</v>
      </c>
      <c r="E90">
        <v>0</v>
      </c>
      <c r="F90">
        <v>0</v>
      </c>
      <c r="G90">
        <f>F90-F$93</f>
        <v>3.3079999999999998</v>
      </c>
      <c r="H90" s="3">
        <f>F90/F$93</f>
        <v>0</v>
      </c>
      <c r="I90">
        <v>0</v>
      </c>
      <c r="J90">
        <v>0</v>
      </c>
      <c r="K90">
        <f>J90-J$93</f>
        <v>3.5670000000000002</v>
      </c>
      <c r="L90" s="3">
        <f>J90/J$93</f>
        <v>0</v>
      </c>
      <c r="M90">
        <v>0</v>
      </c>
      <c r="N90">
        <v>0</v>
      </c>
      <c r="O90">
        <f>N90-N$93</f>
        <v>3.4870000000000001</v>
      </c>
      <c r="P90" s="3">
        <f>N90/N$93</f>
        <v>0</v>
      </c>
      <c r="Q90">
        <v>0</v>
      </c>
      <c r="R90">
        <v>0</v>
      </c>
      <c r="S90">
        <f>R90-R$93</f>
        <v>3.5619999999999998</v>
      </c>
      <c r="T90" s="3">
        <f>R90/R$93</f>
        <v>0</v>
      </c>
      <c r="U90">
        <v>0</v>
      </c>
      <c r="V90">
        <v>0</v>
      </c>
      <c r="W90">
        <f>V90-V$93</f>
        <v>3.512</v>
      </c>
      <c r="X90" s="3">
        <f>V90/V$93</f>
        <v>0</v>
      </c>
      <c r="Y90">
        <v>0</v>
      </c>
      <c r="Z90">
        <v>0</v>
      </c>
      <c r="AA90">
        <f>Z90-Z$93</f>
        <v>3.6720000000000002</v>
      </c>
      <c r="AB90" s="3">
        <f>Z90/Z$93</f>
        <v>0</v>
      </c>
    </row>
    <row r="91" spans="1:28" x14ac:dyDescent="0.2">
      <c r="A91">
        <v>1</v>
      </c>
      <c r="B91">
        <v>-0.21529999999999999</v>
      </c>
      <c r="C91">
        <f t="shared" ref="C91:C93" si="22">B91-B$93</f>
        <v>2.7296999999999998</v>
      </c>
      <c r="D91" s="3">
        <f t="shared" ref="D91:D93" si="23">B91/B$93</f>
        <v>7.3106960950764008E-2</v>
      </c>
      <c r="E91">
        <v>1</v>
      </c>
      <c r="F91">
        <v>-0.56989999999999996</v>
      </c>
      <c r="G91">
        <f t="shared" ref="G91:G93" si="24">F91-F$93</f>
        <v>2.7380999999999998</v>
      </c>
      <c r="H91" s="3">
        <f t="shared" ref="H91:H93" si="25">F91/F$93</f>
        <v>0.17227932285368802</v>
      </c>
      <c r="I91">
        <v>1</v>
      </c>
      <c r="J91">
        <v>-0.45229999999999998</v>
      </c>
      <c r="K91">
        <f t="shared" ref="K91:K93" si="26">J91-J$93</f>
        <v>3.1147</v>
      </c>
      <c r="L91" s="3">
        <f t="shared" ref="L91:L93" si="27">J91/J$93</f>
        <v>0.12680123352957667</v>
      </c>
      <c r="M91">
        <v>1</v>
      </c>
      <c r="N91">
        <v>-0.76649999999999996</v>
      </c>
      <c r="O91">
        <f t="shared" ref="O91:O93" si="28">N91-N$93</f>
        <v>2.7205000000000004</v>
      </c>
      <c r="P91" s="3">
        <f t="shared" ref="P91:P93" si="29">N91/N$93</f>
        <v>0.21981646114138226</v>
      </c>
      <c r="Q91">
        <v>1</v>
      </c>
      <c r="R91">
        <v>-0.40450000000000003</v>
      </c>
      <c r="S91">
        <f t="shared" ref="S91:S93" si="30">R91-R$93</f>
        <v>3.1574999999999998</v>
      </c>
      <c r="T91" s="3">
        <f t="shared" ref="T91:T93" si="31">R91/R$93</f>
        <v>0.11355979786636722</v>
      </c>
      <c r="U91">
        <v>1</v>
      </c>
      <c r="V91">
        <v>-0.6351</v>
      </c>
      <c r="W91">
        <f t="shared" ref="W91:W93" si="32">V91-V$93</f>
        <v>2.8769</v>
      </c>
      <c r="X91" s="3">
        <f t="shared" ref="X91:X93" si="33">V91/V$93</f>
        <v>0.1808371298405467</v>
      </c>
      <c r="Y91">
        <v>1</v>
      </c>
      <c r="Z91">
        <v>-0.39750000000000002</v>
      </c>
      <c r="AA91">
        <f t="shared" ref="AA91:AA93" si="34">Z91-Z$93</f>
        <v>3.2745000000000002</v>
      </c>
      <c r="AB91" s="3">
        <f t="shared" ref="AB91:AB93" si="35">Z91/Z$93</f>
        <v>0.10825163398692811</v>
      </c>
    </row>
    <row r="92" spans="1:28" x14ac:dyDescent="0.2">
      <c r="A92">
        <v>2</v>
      </c>
      <c r="B92" s="4">
        <v>-1.3380000000000001</v>
      </c>
      <c r="C92">
        <f t="shared" si="22"/>
        <v>1.6069999999999998</v>
      </c>
      <c r="D92" s="3">
        <f t="shared" si="23"/>
        <v>0.45432937181663841</v>
      </c>
      <c r="E92">
        <v>2</v>
      </c>
      <c r="F92">
        <v>-1.5569999999999999</v>
      </c>
      <c r="G92">
        <f t="shared" si="24"/>
        <v>1.7509999999999999</v>
      </c>
      <c r="H92" s="3">
        <f t="shared" si="25"/>
        <v>0.470677146311971</v>
      </c>
      <c r="I92">
        <v>2</v>
      </c>
      <c r="J92">
        <v>-1.7230000000000001</v>
      </c>
      <c r="K92">
        <f t="shared" si="26"/>
        <v>1.8440000000000001</v>
      </c>
      <c r="L92" s="3">
        <f t="shared" si="27"/>
        <v>0.48303896832071769</v>
      </c>
      <c r="M92">
        <v>2</v>
      </c>
      <c r="N92">
        <v>-1.8029999999999999</v>
      </c>
      <c r="O92">
        <f t="shared" si="28"/>
        <v>1.6840000000000002</v>
      </c>
      <c r="P92" s="3">
        <f t="shared" si="29"/>
        <v>0.51706337826211635</v>
      </c>
      <c r="Q92">
        <v>2</v>
      </c>
      <c r="R92">
        <f>-1.754</f>
        <v>-1.754</v>
      </c>
      <c r="S92">
        <f t="shared" si="30"/>
        <v>1.8079999999999998</v>
      </c>
      <c r="T92" s="3">
        <f t="shared" si="31"/>
        <v>0.49241998877035376</v>
      </c>
      <c r="U92">
        <v>2</v>
      </c>
      <c r="V92">
        <v>-1.831</v>
      </c>
      <c r="W92">
        <f t="shared" si="32"/>
        <v>1.681</v>
      </c>
      <c r="X92" s="3">
        <f t="shared" si="33"/>
        <v>0.52135535307517078</v>
      </c>
      <c r="Y92">
        <v>2</v>
      </c>
      <c r="Z92">
        <v>-1.7549999999999999</v>
      </c>
      <c r="AA92">
        <f t="shared" si="34"/>
        <v>1.9170000000000003</v>
      </c>
      <c r="AB92" s="3">
        <f t="shared" si="35"/>
        <v>0.4779411764705882</v>
      </c>
    </row>
    <row r="93" spans="1:28" x14ac:dyDescent="0.2">
      <c r="A93">
        <v>3</v>
      </c>
      <c r="B93">
        <v>-2.9449999999999998</v>
      </c>
      <c r="C93">
        <f t="shared" si="22"/>
        <v>0</v>
      </c>
      <c r="D93" s="3">
        <f t="shared" si="23"/>
        <v>1</v>
      </c>
      <c r="E93">
        <v>3</v>
      </c>
      <c r="F93">
        <v>-3.3079999999999998</v>
      </c>
      <c r="G93">
        <f t="shared" si="24"/>
        <v>0</v>
      </c>
      <c r="H93" s="3">
        <f t="shared" si="25"/>
        <v>1</v>
      </c>
      <c r="I93">
        <v>3</v>
      </c>
      <c r="J93">
        <v>-3.5670000000000002</v>
      </c>
      <c r="K93">
        <f t="shared" si="26"/>
        <v>0</v>
      </c>
      <c r="L93" s="3">
        <f t="shared" si="27"/>
        <v>1</v>
      </c>
      <c r="M93">
        <v>3</v>
      </c>
      <c r="N93">
        <v>-3.4870000000000001</v>
      </c>
      <c r="O93">
        <f t="shared" si="28"/>
        <v>0</v>
      </c>
      <c r="P93" s="3">
        <f t="shared" si="29"/>
        <v>1</v>
      </c>
      <c r="Q93">
        <v>3</v>
      </c>
      <c r="R93">
        <v>-3.5619999999999998</v>
      </c>
      <c r="S93">
        <f t="shared" si="30"/>
        <v>0</v>
      </c>
      <c r="T93" s="3">
        <f t="shared" si="31"/>
        <v>1</v>
      </c>
      <c r="U93">
        <v>3</v>
      </c>
      <c r="V93">
        <v>-3.512</v>
      </c>
      <c r="W93">
        <f t="shared" si="32"/>
        <v>0</v>
      </c>
      <c r="X93" s="3">
        <f t="shared" si="33"/>
        <v>1</v>
      </c>
      <c r="Y93">
        <v>3</v>
      </c>
      <c r="Z93">
        <v>-3.6720000000000002</v>
      </c>
      <c r="AA93">
        <f t="shared" si="34"/>
        <v>0</v>
      </c>
      <c r="AB93" s="3">
        <f t="shared" si="35"/>
        <v>1</v>
      </c>
    </row>
    <row r="96" spans="1:28" x14ac:dyDescent="0.2">
      <c r="A96" t="s">
        <v>43</v>
      </c>
      <c r="B96">
        <v>1</v>
      </c>
      <c r="F96">
        <v>2</v>
      </c>
      <c r="J96">
        <v>3</v>
      </c>
      <c r="N96">
        <v>4</v>
      </c>
    </row>
    <row r="97" spans="1:24" x14ac:dyDescent="0.2">
      <c r="A97" t="s">
        <v>33</v>
      </c>
      <c r="B97" t="s">
        <v>34</v>
      </c>
      <c r="C97" t="s">
        <v>35</v>
      </c>
      <c r="D97" t="s">
        <v>36</v>
      </c>
      <c r="E97" t="s">
        <v>33</v>
      </c>
      <c r="F97" t="s">
        <v>34</v>
      </c>
      <c r="G97" t="s">
        <v>35</v>
      </c>
      <c r="H97" t="s">
        <v>36</v>
      </c>
      <c r="I97" t="s">
        <v>33</v>
      </c>
      <c r="J97" t="s">
        <v>34</v>
      </c>
      <c r="K97" t="s">
        <v>35</v>
      </c>
      <c r="L97" t="s">
        <v>36</v>
      </c>
      <c r="M97" t="s">
        <v>33</v>
      </c>
      <c r="N97" t="s">
        <v>34</v>
      </c>
      <c r="O97" t="s">
        <v>35</v>
      </c>
      <c r="P97" t="s">
        <v>36</v>
      </c>
    </row>
    <row r="98" spans="1:24" x14ac:dyDescent="0.2">
      <c r="A98">
        <v>0</v>
      </c>
      <c r="B98">
        <v>0</v>
      </c>
      <c r="C98">
        <f>B98-B$101</f>
        <v>3.415</v>
      </c>
      <c r="D98" s="3">
        <f>B98/B$101</f>
        <v>0</v>
      </c>
      <c r="E98">
        <v>0</v>
      </c>
      <c r="F98">
        <v>0</v>
      </c>
      <c r="G98">
        <f>F98-F$101</f>
        <v>3.8340000000000001</v>
      </c>
      <c r="H98" s="3">
        <f>F98/F$101</f>
        <v>0</v>
      </c>
      <c r="I98">
        <v>0</v>
      </c>
      <c r="J98">
        <v>0</v>
      </c>
      <c r="K98">
        <f>J98-J$101</f>
        <v>2.9180000000000001</v>
      </c>
      <c r="L98" s="3">
        <f>J98/J$101</f>
        <v>0</v>
      </c>
      <c r="M98">
        <v>0</v>
      </c>
      <c r="N98">
        <v>0</v>
      </c>
      <c r="O98">
        <f>N98-N$101</f>
        <v>3.0590000000000002</v>
      </c>
      <c r="P98" s="3">
        <f>N98/N$101</f>
        <v>0</v>
      </c>
      <c r="T98" s="3"/>
      <c r="X98" s="3"/>
    </row>
    <row r="99" spans="1:24" x14ac:dyDescent="0.2">
      <c r="A99">
        <v>1</v>
      </c>
      <c r="B99">
        <v>-0.48799999999999999</v>
      </c>
      <c r="C99">
        <f t="shared" ref="C99:C101" si="36">B99-B$101</f>
        <v>2.927</v>
      </c>
      <c r="D99" s="3">
        <f t="shared" ref="D99:D101" si="37">B99/B$101</f>
        <v>0.14289897510980965</v>
      </c>
      <c r="E99">
        <v>1</v>
      </c>
      <c r="F99">
        <v>-0.82479999999999998</v>
      </c>
      <c r="G99">
        <f t="shared" ref="G99:G101" si="38">F99-F$101</f>
        <v>3.0091999999999999</v>
      </c>
      <c r="H99" s="3">
        <f t="shared" ref="H99:H101" si="39">F99/F$101</f>
        <v>0.21512780386019822</v>
      </c>
      <c r="I99">
        <v>1</v>
      </c>
      <c r="J99">
        <v>-0.50839999999999996</v>
      </c>
      <c r="K99">
        <f>J99-J$101</f>
        <v>2.4096000000000002</v>
      </c>
      <c r="L99" s="3">
        <f>J99/J$101</f>
        <v>0.17422892392049347</v>
      </c>
      <c r="M99">
        <v>1</v>
      </c>
      <c r="N99">
        <v>-0.48799999999999999</v>
      </c>
      <c r="O99">
        <f t="shared" ref="O99:O101" si="40">N99-N$101</f>
        <v>2.5710000000000002</v>
      </c>
      <c r="P99" s="3">
        <f t="shared" ref="P99:P101" si="41">N99/N$101</f>
        <v>0.15952925792742725</v>
      </c>
      <c r="T99" s="3"/>
      <c r="X99" s="3"/>
    </row>
    <row r="100" spans="1:24" x14ac:dyDescent="0.2">
      <c r="A100">
        <v>2</v>
      </c>
      <c r="B100">
        <v>-1.673</v>
      </c>
      <c r="C100">
        <f t="shared" si="36"/>
        <v>1.742</v>
      </c>
      <c r="D100" s="3">
        <f t="shared" si="37"/>
        <v>0.48989751098096634</v>
      </c>
      <c r="E100">
        <v>2</v>
      </c>
      <c r="F100">
        <v>-2.1150000000000002</v>
      </c>
      <c r="G100">
        <f t="shared" si="38"/>
        <v>1.7189999999999999</v>
      </c>
      <c r="H100" s="3">
        <f t="shared" si="39"/>
        <v>0.55164319248826299</v>
      </c>
      <c r="I100">
        <v>2</v>
      </c>
      <c r="J100">
        <v>-1.5009999999999999</v>
      </c>
      <c r="K100">
        <f>J100-J$101</f>
        <v>1.4170000000000003</v>
      </c>
      <c r="L100" s="3">
        <f>J100/J$101</f>
        <v>0.51439342015078815</v>
      </c>
      <c r="M100">
        <v>2</v>
      </c>
      <c r="N100">
        <v>-1.6719999999999999</v>
      </c>
      <c r="O100">
        <f t="shared" si="40"/>
        <v>1.3870000000000002</v>
      </c>
      <c r="P100" s="3">
        <f t="shared" si="41"/>
        <v>0.54658385093167694</v>
      </c>
      <c r="T100" s="3"/>
      <c r="X100" s="3"/>
    </row>
    <row r="101" spans="1:24" x14ac:dyDescent="0.2">
      <c r="A101">
        <v>3</v>
      </c>
      <c r="B101">
        <v>-3.415</v>
      </c>
      <c r="C101">
        <f t="shared" si="36"/>
        <v>0</v>
      </c>
      <c r="D101" s="3">
        <f t="shared" si="37"/>
        <v>1</v>
      </c>
      <c r="E101">
        <v>3</v>
      </c>
      <c r="F101">
        <v>-3.8340000000000001</v>
      </c>
      <c r="G101">
        <f t="shared" si="38"/>
        <v>0</v>
      </c>
      <c r="H101" s="3">
        <f t="shared" si="39"/>
        <v>1</v>
      </c>
      <c r="I101">
        <v>3</v>
      </c>
      <c r="J101">
        <v>-2.9180000000000001</v>
      </c>
      <c r="K101">
        <f>J101-J$101</f>
        <v>0</v>
      </c>
      <c r="L101" s="3">
        <f>J101/J$101</f>
        <v>1</v>
      </c>
      <c r="M101">
        <v>3</v>
      </c>
      <c r="N101">
        <v>-3.0590000000000002</v>
      </c>
      <c r="O101">
        <f t="shared" si="40"/>
        <v>0</v>
      </c>
      <c r="P101" s="3">
        <f t="shared" si="41"/>
        <v>1</v>
      </c>
      <c r="T101" s="3"/>
      <c r="X101" s="3"/>
    </row>
    <row r="104" spans="1:24" x14ac:dyDescent="0.2">
      <c r="A104" t="s">
        <v>44</v>
      </c>
      <c r="B104">
        <v>1</v>
      </c>
      <c r="F104">
        <v>2</v>
      </c>
      <c r="J104">
        <v>3</v>
      </c>
    </row>
    <row r="105" spans="1:24" x14ac:dyDescent="0.2">
      <c r="A105" t="s">
        <v>33</v>
      </c>
      <c r="B105" t="s">
        <v>34</v>
      </c>
      <c r="C105" t="s">
        <v>35</v>
      </c>
      <c r="D105" t="s">
        <v>36</v>
      </c>
      <c r="E105" t="s">
        <v>33</v>
      </c>
      <c r="F105" t="s">
        <v>34</v>
      </c>
      <c r="G105" t="s">
        <v>35</v>
      </c>
      <c r="H105" t="s">
        <v>36</v>
      </c>
      <c r="I105" t="s">
        <v>33</v>
      </c>
      <c r="J105" t="s">
        <v>34</v>
      </c>
      <c r="K105" t="s">
        <v>35</v>
      </c>
      <c r="L105" t="s">
        <v>36</v>
      </c>
    </row>
    <row r="106" spans="1:24" x14ac:dyDescent="0.2">
      <c r="A106">
        <v>0</v>
      </c>
      <c r="B106">
        <v>0</v>
      </c>
      <c r="C106">
        <f>B106-B$109</f>
        <v>3.4340000000000002</v>
      </c>
      <c r="D106" s="3">
        <f>B106/B$69</f>
        <v>0</v>
      </c>
      <c r="E106">
        <v>0</v>
      </c>
      <c r="F106">
        <v>0</v>
      </c>
      <c r="G106">
        <f>F106-F$109</f>
        <v>3.254</v>
      </c>
      <c r="H106" s="3">
        <f>F106/F$109</f>
        <v>0</v>
      </c>
      <c r="I106">
        <v>0</v>
      </c>
      <c r="J106">
        <v>0</v>
      </c>
      <c r="K106">
        <f>J106-J$109</f>
        <v>3.2559999999999998</v>
      </c>
      <c r="L106" s="3">
        <f>J106/J$109</f>
        <v>0</v>
      </c>
    </row>
    <row r="107" spans="1:24" x14ac:dyDescent="0.2">
      <c r="A107">
        <v>1</v>
      </c>
      <c r="B107">
        <v>-0.31</v>
      </c>
      <c r="C107">
        <f t="shared" ref="C107:C109" si="42">B107-B$109</f>
        <v>3.1240000000000001</v>
      </c>
      <c r="D107" s="3">
        <f t="shared" ref="D107:D109" si="43">B107/B$69</f>
        <v>7.60549558390579E-2</v>
      </c>
      <c r="E107">
        <v>1</v>
      </c>
      <c r="F107">
        <v>-0.32869999999999999</v>
      </c>
      <c r="G107">
        <f t="shared" ref="G107:G109" si="44">F107-F$109</f>
        <v>2.9253</v>
      </c>
      <c r="H107" s="3">
        <f>F107/F$109</f>
        <v>0.10101413644744929</v>
      </c>
      <c r="I107">
        <v>1</v>
      </c>
      <c r="J107">
        <v>-0.60150000000000003</v>
      </c>
      <c r="K107">
        <f t="shared" ref="K107:K109" si="45">J107-J$109</f>
        <v>2.6544999999999996</v>
      </c>
      <c r="L107" s="3">
        <f>J107/J$109</f>
        <v>0.18473587223587226</v>
      </c>
    </row>
    <row r="108" spans="1:24" x14ac:dyDescent="0.2">
      <c r="A108">
        <v>2</v>
      </c>
      <c r="B108">
        <v>-1.9710000000000001</v>
      </c>
      <c r="C108">
        <f t="shared" si="42"/>
        <v>1.4630000000000001</v>
      </c>
      <c r="D108" s="3">
        <f t="shared" si="43"/>
        <v>0.48356231599607463</v>
      </c>
      <c r="E108">
        <v>2</v>
      </c>
      <c r="F108">
        <v>-1.792</v>
      </c>
      <c r="G108">
        <f t="shared" si="44"/>
        <v>1.462</v>
      </c>
      <c r="H108" s="3">
        <f>F108/F$109</f>
        <v>0.55070682237246471</v>
      </c>
      <c r="I108">
        <v>2</v>
      </c>
      <c r="J108">
        <v>-1.823</v>
      </c>
      <c r="K108">
        <f t="shared" si="45"/>
        <v>1.4329999999999998</v>
      </c>
      <c r="L108" s="3">
        <f>J108/J$109</f>
        <v>0.55988943488943488</v>
      </c>
    </row>
    <row r="109" spans="1:24" x14ac:dyDescent="0.2">
      <c r="A109">
        <v>3</v>
      </c>
      <c r="B109">
        <v>-3.4340000000000002</v>
      </c>
      <c r="C109">
        <f t="shared" si="42"/>
        <v>0</v>
      </c>
      <c r="D109" s="3">
        <f t="shared" si="43"/>
        <v>0.84249263984298339</v>
      </c>
      <c r="E109">
        <v>3</v>
      </c>
      <c r="F109">
        <v>-3.254</v>
      </c>
      <c r="G109">
        <f t="shared" si="44"/>
        <v>0</v>
      </c>
      <c r="H109" s="3">
        <f>F109/F$109</f>
        <v>1</v>
      </c>
      <c r="I109">
        <v>3</v>
      </c>
      <c r="J109">
        <v>-3.2559999999999998</v>
      </c>
      <c r="K109">
        <f t="shared" si="45"/>
        <v>0</v>
      </c>
      <c r="L109" s="3">
        <f>J109/J$109</f>
        <v>1</v>
      </c>
    </row>
    <row r="112" spans="1:24" x14ac:dyDescent="0.2">
      <c r="A112" t="s">
        <v>45</v>
      </c>
      <c r="B112">
        <v>1</v>
      </c>
      <c r="F112">
        <v>2</v>
      </c>
      <c r="J112">
        <v>3</v>
      </c>
    </row>
    <row r="113" spans="1:16" x14ac:dyDescent="0.2">
      <c r="A113" t="s">
        <v>33</v>
      </c>
      <c r="B113" t="s">
        <v>34</v>
      </c>
      <c r="C113" t="s">
        <v>35</v>
      </c>
      <c r="D113" t="s">
        <v>36</v>
      </c>
      <c r="E113" t="s">
        <v>33</v>
      </c>
      <c r="F113" t="s">
        <v>34</v>
      </c>
      <c r="G113" t="s">
        <v>35</v>
      </c>
      <c r="H113" t="s">
        <v>36</v>
      </c>
      <c r="I113" t="s">
        <v>33</v>
      </c>
      <c r="J113" t="s">
        <v>34</v>
      </c>
      <c r="K113" t="s">
        <v>35</v>
      </c>
      <c r="L113" t="s">
        <v>36</v>
      </c>
    </row>
    <row r="114" spans="1:16" x14ac:dyDescent="0.2">
      <c r="A114">
        <v>0</v>
      </c>
      <c r="B114">
        <v>0</v>
      </c>
      <c r="C114">
        <f>B114-B$117</f>
        <v>3.1859999999999999</v>
      </c>
      <c r="D114" s="3">
        <f>B114/B$117</f>
        <v>0</v>
      </c>
      <c r="E114">
        <v>0</v>
      </c>
      <c r="F114">
        <v>0</v>
      </c>
      <c r="G114">
        <f>F114-F$117</f>
        <v>3.173</v>
      </c>
      <c r="H114" s="3">
        <f>F114/F$117</f>
        <v>0</v>
      </c>
      <c r="I114">
        <v>0</v>
      </c>
      <c r="J114">
        <v>0</v>
      </c>
      <c r="K114">
        <f>J114-J$117</f>
        <v>3.641</v>
      </c>
      <c r="L114" s="3">
        <f>J114/J$117</f>
        <v>0</v>
      </c>
      <c r="P114" s="3"/>
    </row>
    <row r="115" spans="1:16" x14ac:dyDescent="0.2">
      <c r="A115">
        <v>1</v>
      </c>
      <c r="B115">
        <v>-0.48599999999999999</v>
      </c>
      <c r="C115">
        <f>B115-B$117</f>
        <v>2.7</v>
      </c>
      <c r="D115" s="3">
        <f t="shared" ref="D115:D117" si="46">B115/B$117</f>
        <v>0.15254237288135594</v>
      </c>
      <c r="E115">
        <v>1</v>
      </c>
      <c r="F115">
        <v>-0.45069999999999999</v>
      </c>
      <c r="G115">
        <f>F115-F$117</f>
        <v>2.7223000000000002</v>
      </c>
      <c r="H115" s="3">
        <f t="shared" ref="H115:H117" si="47">F115/F$117</f>
        <v>0.14204223132682003</v>
      </c>
      <c r="I115">
        <v>1</v>
      </c>
      <c r="J115">
        <v>-0.30649999999999999</v>
      </c>
      <c r="K115">
        <f t="shared" ref="K115:K117" si="48">J115-J$117</f>
        <v>3.3345000000000002</v>
      </c>
      <c r="L115" s="3">
        <f t="shared" ref="L115:L117" si="49">J115/J$117</f>
        <v>8.4180170282889308E-2</v>
      </c>
      <c r="P115" s="3"/>
    </row>
    <row r="116" spans="1:16" x14ac:dyDescent="0.2">
      <c r="A116">
        <v>2</v>
      </c>
      <c r="B116">
        <v>-1.08</v>
      </c>
      <c r="C116">
        <f t="shared" ref="C116:C117" si="50">B116-B$117</f>
        <v>2.1059999999999999</v>
      </c>
      <c r="D116" s="3">
        <f t="shared" si="46"/>
        <v>0.33898305084745767</v>
      </c>
      <c r="E116">
        <v>2</v>
      </c>
      <c r="F116">
        <v>-1.37</v>
      </c>
      <c r="G116">
        <f t="shared" ref="G116:G117" si="51">F116-F$117</f>
        <v>1.8029999999999999</v>
      </c>
      <c r="H116" s="3">
        <f t="shared" si="47"/>
        <v>0.43176804286164516</v>
      </c>
      <c r="I116">
        <v>2</v>
      </c>
      <c r="J116">
        <v>-1.6859999999999999</v>
      </c>
      <c r="K116">
        <f t="shared" si="48"/>
        <v>1.9550000000000001</v>
      </c>
      <c r="L116" s="3">
        <f t="shared" si="49"/>
        <v>0.46305959901126065</v>
      </c>
      <c r="P116" s="3"/>
    </row>
    <row r="117" spans="1:16" x14ac:dyDescent="0.2">
      <c r="A117">
        <v>3</v>
      </c>
      <c r="B117">
        <v>-3.1859999999999999</v>
      </c>
      <c r="C117">
        <f t="shared" si="50"/>
        <v>0</v>
      </c>
      <c r="D117" s="3">
        <f t="shared" si="46"/>
        <v>1</v>
      </c>
      <c r="E117">
        <v>3</v>
      </c>
      <c r="F117">
        <v>-3.173</v>
      </c>
      <c r="G117">
        <f t="shared" si="51"/>
        <v>0</v>
      </c>
      <c r="H117" s="3">
        <f t="shared" si="47"/>
        <v>1</v>
      </c>
      <c r="I117">
        <v>3</v>
      </c>
      <c r="J117">
        <v>-3.641</v>
      </c>
      <c r="K117">
        <f t="shared" si="48"/>
        <v>0</v>
      </c>
      <c r="L117" s="3">
        <f t="shared" si="49"/>
        <v>1</v>
      </c>
      <c r="P117" s="3"/>
    </row>
    <row r="119" spans="1:16" x14ac:dyDescent="0.2">
      <c r="A119" t="s">
        <v>8</v>
      </c>
      <c r="B119">
        <v>1</v>
      </c>
    </row>
    <row r="120" spans="1:16" x14ac:dyDescent="0.2">
      <c r="A120" t="s">
        <v>33</v>
      </c>
      <c r="B120" t="s">
        <v>34</v>
      </c>
      <c r="C120" t="s">
        <v>35</v>
      </c>
      <c r="D120" t="s">
        <v>36</v>
      </c>
      <c r="E120" t="s">
        <v>33</v>
      </c>
    </row>
    <row r="121" spans="1:16" x14ac:dyDescent="0.2">
      <c r="A121">
        <v>0</v>
      </c>
      <c r="B121">
        <v>0</v>
      </c>
      <c r="C121">
        <f>B121-B$124</f>
        <v>4.33</v>
      </c>
      <c r="D121" s="3">
        <f>B121/B$117</f>
        <v>0</v>
      </c>
      <c r="E121">
        <v>0</v>
      </c>
    </row>
    <row r="122" spans="1:16" x14ac:dyDescent="0.2">
      <c r="A122">
        <v>1</v>
      </c>
      <c r="B122">
        <v>-1.1100000000000001</v>
      </c>
      <c r="C122">
        <f t="shared" ref="C122:C124" si="52">B122-B$124</f>
        <v>3.2199999999999998</v>
      </c>
      <c r="D122" s="3">
        <f t="shared" ref="D122:D124" si="53">B122/B$117</f>
        <v>0.34839924670433148</v>
      </c>
      <c r="E122">
        <v>1</v>
      </c>
    </row>
    <row r="123" spans="1:16" x14ac:dyDescent="0.2">
      <c r="A123">
        <v>2</v>
      </c>
      <c r="B123">
        <v>-2.1840000000000002</v>
      </c>
      <c r="C123">
        <f t="shared" si="52"/>
        <v>2.1459999999999999</v>
      </c>
      <c r="D123" s="3">
        <f t="shared" si="53"/>
        <v>0.68549905838041436</v>
      </c>
      <c r="E123">
        <v>2</v>
      </c>
    </row>
    <row r="124" spans="1:16" x14ac:dyDescent="0.2">
      <c r="A124">
        <v>3</v>
      </c>
      <c r="B124">
        <v>-4.33</v>
      </c>
      <c r="C124">
        <f t="shared" si="52"/>
        <v>0</v>
      </c>
      <c r="D124" s="3">
        <f t="shared" si="53"/>
        <v>1.3590709353421218</v>
      </c>
      <c r="E124">
        <v>3</v>
      </c>
    </row>
    <row r="127" spans="1:16" x14ac:dyDescent="0.2">
      <c r="A127" t="s">
        <v>13</v>
      </c>
      <c r="B127">
        <v>1</v>
      </c>
    </row>
    <row r="128" spans="1:16" x14ac:dyDescent="0.2">
      <c r="A128" t="s">
        <v>33</v>
      </c>
      <c r="B128" t="s">
        <v>34</v>
      </c>
      <c r="C128" t="s">
        <v>35</v>
      </c>
      <c r="D128" t="s">
        <v>36</v>
      </c>
      <c r="E128" t="s">
        <v>33</v>
      </c>
    </row>
    <row r="129" spans="1:20" x14ac:dyDescent="0.2">
      <c r="A129">
        <v>0</v>
      </c>
      <c r="B129">
        <v>0</v>
      </c>
      <c r="C129">
        <f>B129-B$132</f>
        <v>3.9670000000000001</v>
      </c>
      <c r="D129" s="3">
        <f>B129/B$117</f>
        <v>0</v>
      </c>
      <c r="E129">
        <v>0</v>
      </c>
    </row>
    <row r="130" spans="1:20" x14ac:dyDescent="0.2">
      <c r="A130">
        <v>1</v>
      </c>
      <c r="B130">
        <v>-0.90329999999999999</v>
      </c>
      <c r="C130">
        <f t="shared" ref="C130:C132" si="54">B130-B$132</f>
        <v>3.0636999999999999</v>
      </c>
      <c r="D130" s="3">
        <f t="shared" ref="D130:D132" si="55">B130/B$117</f>
        <v>0.28352165725047079</v>
      </c>
      <c r="E130">
        <v>1</v>
      </c>
    </row>
    <row r="131" spans="1:20" x14ac:dyDescent="0.2">
      <c r="A131">
        <v>2</v>
      </c>
      <c r="B131">
        <v>-2.3959999999999999</v>
      </c>
      <c r="C131">
        <f t="shared" si="54"/>
        <v>1.5710000000000002</v>
      </c>
      <c r="D131" s="3">
        <f t="shared" si="55"/>
        <v>0.75204017576898929</v>
      </c>
      <c r="E131">
        <v>2</v>
      </c>
    </row>
    <row r="132" spans="1:20" x14ac:dyDescent="0.2">
      <c r="A132">
        <v>3</v>
      </c>
      <c r="B132">
        <v>-3.9670000000000001</v>
      </c>
      <c r="C132">
        <f t="shared" si="54"/>
        <v>0</v>
      </c>
      <c r="D132" s="3">
        <f t="shared" si="55"/>
        <v>1.2451349654739485</v>
      </c>
      <c r="E132">
        <v>3</v>
      </c>
    </row>
    <row r="134" spans="1:20" x14ac:dyDescent="0.2">
      <c r="A134" t="s">
        <v>46</v>
      </c>
      <c r="B134">
        <v>1</v>
      </c>
      <c r="G134">
        <v>2</v>
      </c>
      <c r="L134">
        <v>3</v>
      </c>
      <c r="Q134">
        <v>4</v>
      </c>
    </row>
    <row r="135" spans="1:20" x14ac:dyDescent="0.2">
      <c r="A135" t="s">
        <v>33</v>
      </c>
      <c r="B135" t="s">
        <v>34</v>
      </c>
      <c r="C135" t="s">
        <v>35</v>
      </c>
      <c r="D135" t="s">
        <v>36</v>
      </c>
      <c r="E135" t="s">
        <v>33</v>
      </c>
      <c r="F135" t="s">
        <v>33</v>
      </c>
      <c r="G135" t="s">
        <v>34</v>
      </c>
      <c r="H135" t="s">
        <v>35</v>
      </c>
      <c r="I135" t="s">
        <v>36</v>
      </c>
      <c r="J135" t="s">
        <v>33</v>
      </c>
      <c r="K135" t="s">
        <v>33</v>
      </c>
      <c r="L135" t="s">
        <v>34</v>
      </c>
      <c r="M135" t="s">
        <v>35</v>
      </c>
      <c r="N135" t="s">
        <v>36</v>
      </c>
      <c r="O135" t="s">
        <v>33</v>
      </c>
      <c r="P135" t="s">
        <v>33</v>
      </c>
      <c r="Q135" t="s">
        <v>34</v>
      </c>
      <c r="R135" t="s">
        <v>35</v>
      </c>
      <c r="S135" t="s">
        <v>36</v>
      </c>
      <c r="T135" t="s">
        <v>33</v>
      </c>
    </row>
    <row r="136" spans="1:20" x14ac:dyDescent="0.2">
      <c r="A136">
        <v>0</v>
      </c>
      <c r="B136">
        <v>0</v>
      </c>
      <c r="C136">
        <f>B136-B$139</f>
        <v>3.202</v>
      </c>
      <c r="D136" s="3">
        <f>B136/B$117</f>
        <v>0</v>
      </c>
      <c r="E136">
        <v>0</v>
      </c>
      <c r="F136">
        <v>0</v>
      </c>
      <c r="G136">
        <v>0</v>
      </c>
      <c r="H136">
        <f>G136-G$139</f>
        <v>3.738</v>
      </c>
      <c r="I136" s="3">
        <f>G136/G$139</f>
        <v>0</v>
      </c>
      <c r="J136">
        <v>0</v>
      </c>
      <c r="K136">
        <v>0</v>
      </c>
      <c r="L136">
        <v>0</v>
      </c>
      <c r="M136">
        <f>L136-L$139</f>
        <v>3.5790000000000002</v>
      </c>
      <c r="N136" s="3">
        <f>L136/L$139</f>
        <v>0</v>
      </c>
      <c r="O136">
        <v>0</v>
      </c>
      <c r="P136">
        <v>0</v>
      </c>
      <c r="Q136">
        <v>0</v>
      </c>
      <c r="R136">
        <f>Q136-Q$139</f>
        <v>2.649</v>
      </c>
      <c r="S136" s="3">
        <f>Q136/Q$139</f>
        <v>0</v>
      </c>
      <c r="T136">
        <v>0</v>
      </c>
    </row>
    <row r="137" spans="1:20" x14ac:dyDescent="0.2">
      <c r="A137">
        <v>1</v>
      </c>
      <c r="B137">
        <v>-0.59530000000000005</v>
      </c>
      <c r="C137">
        <f t="shared" ref="C137:C139" si="56">B137-B$139</f>
        <v>2.6067</v>
      </c>
      <c r="D137" s="3">
        <f t="shared" ref="D137:D139" si="57">B137/B$117</f>
        <v>0.18684871311989959</v>
      </c>
      <c r="E137">
        <v>1</v>
      </c>
      <c r="F137">
        <v>1</v>
      </c>
      <c r="G137">
        <v>-0.63549999999999995</v>
      </c>
      <c r="H137">
        <f t="shared" ref="H137:H139" si="58">G137-G$139</f>
        <v>3.1025</v>
      </c>
      <c r="I137" s="3">
        <f t="shared" ref="I137:I139" si="59">G137/G$139</f>
        <v>0.17001070090957729</v>
      </c>
      <c r="J137">
        <v>1</v>
      </c>
      <c r="K137">
        <v>1</v>
      </c>
      <c r="L137">
        <v>-0.64359999999999995</v>
      </c>
      <c r="M137">
        <f t="shared" ref="M137:M139" si="60">L137-L$139</f>
        <v>2.9354000000000005</v>
      </c>
      <c r="N137" s="3">
        <f t="shared" ref="N137:N139" si="61">L137/L$139</f>
        <v>0.17982676725342273</v>
      </c>
      <c r="O137">
        <v>1</v>
      </c>
      <c r="P137">
        <v>1</v>
      </c>
      <c r="Q137">
        <v>-0.36880000000000002</v>
      </c>
      <c r="R137">
        <f t="shared" ref="R137:R139" si="62">Q137-Q$139</f>
        <v>2.2801999999999998</v>
      </c>
      <c r="S137" s="3">
        <f t="shared" ref="S137:S139" si="63">Q137/Q$139</f>
        <v>0.13922234805587014</v>
      </c>
      <c r="T137">
        <v>1</v>
      </c>
    </row>
    <row r="138" spans="1:20" x14ac:dyDescent="0.2">
      <c r="A138">
        <v>2</v>
      </c>
      <c r="B138">
        <v>-1.7649999999999999</v>
      </c>
      <c r="C138">
        <f t="shared" si="56"/>
        <v>1.4370000000000001</v>
      </c>
      <c r="D138" s="3">
        <f t="shared" si="57"/>
        <v>0.55398618957940993</v>
      </c>
      <c r="E138">
        <v>2</v>
      </c>
      <c r="F138">
        <v>2</v>
      </c>
      <c r="G138">
        <v>-2.093</v>
      </c>
      <c r="H138">
        <f t="shared" si="58"/>
        <v>1.645</v>
      </c>
      <c r="I138" s="3">
        <f t="shared" si="59"/>
        <v>0.55992509363295884</v>
      </c>
      <c r="J138">
        <v>2</v>
      </c>
      <c r="K138">
        <v>2</v>
      </c>
      <c r="L138">
        <v>-1.972</v>
      </c>
      <c r="M138">
        <f t="shared" si="60"/>
        <v>1.6070000000000002</v>
      </c>
      <c r="N138" s="3">
        <f t="shared" si="61"/>
        <v>0.55099189717798269</v>
      </c>
      <c r="O138">
        <v>2</v>
      </c>
      <c r="P138">
        <v>2</v>
      </c>
      <c r="Q138">
        <v>-1.24</v>
      </c>
      <c r="R138">
        <f t="shared" si="62"/>
        <v>1.409</v>
      </c>
      <c r="S138" s="3">
        <f t="shared" si="63"/>
        <v>0.46810117025292564</v>
      </c>
      <c r="T138">
        <v>2</v>
      </c>
    </row>
    <row r="139" spans="1:20" x14ac:dyDescent="0.2">
      <c r="A139">
        <v>3</v>
      </c>
      <c r="B139">
        <v>-3.202</v>
      </c>
      <c r="C139">
        <f t="shared" si="56"/>
        <v>0</v>
      </c>
      <c r="D139" s="3">
        <f t="shared" si="57"/>
        <v>1.0050219711236661</v>
      </c>
      <c r="E139">
        <v>3</v>
      </c>
      <c r="F139">
        <v>3</v>
      </c>
      <c r="G139">
        <v>-3.738</v>
      </c>
      <c r="H139">
        <f t="shared" si="58"/>
        <v>0</v>
      </c>
      <c r="I139" s="3">
        <f t="shared" si="59"/>
        <v>1</v>
      </c>
      <c r="J139">
        <v>3</v>
      </c>
      <c r="K139">
        <v>3</v>
      </c>
      <c r="L139">
        <v>-3.5790000000000002</v>
      </c>
      <c r="M139">
        <f t="shared" si="60"/>
        <v>0</v>
      </c>
      <c r="N139" s="3">
        <f t="shared" si="61"/>
        <v>1</v>
      </c>
      <c r="O139">
        <v>3</v>
      </c>
      <c r="P139">
        <v>3</v>
      </c>
      <c r="Q139">
        <v>-2.649</v>
      </c>
      <c r="R139">
        <f t="shared" si="62"/>
        <v>0</v>
      </c>
      <c r="S139" s="3">
        <f t="shared" si="63"/>
        <v>1</v>
      </c>
      <c r="T139">
        <v>3</v>
      </c>
    </row>
    <row r="141" spans="1:20" x14ac:dyDescent="0.2">
      <c r="A141" t="s">
        <v>50</v>
      </c>
      <c r="D141">
        <v>4000</v>
      </c>
      <c r="H141">
        <v>4001</v>
      </c>
      <c r="L141">
        <v>4002</v>
      </c>
      <c r="P141" t="s">
        <v>51</v>
      </c>
    </row>
    <row r="142" spans="1:20" x14ac:dyDescent="0.2">
      <c r="A142" t="s">
        <v>33</v>
      </c>
      <c r="B142" t="s">
        <v>34</v>
      </c>
      <c r="C142" t="s">
        <v>35</v>
      </c>
      <c r="D142" t="s">
        <v>36</v>
      </c>
      <c r="E142" t="s">
        <v>33</v>
      </c>
      <c r="F142" t="s">
        <v>34</v>
      </c>
      <c r="G142" t="s">
        <v>35</v>
      </c>
      <c r="H142" t="s">
        <v>36</v>
      </c>
      <c r="I142" t="s">
        <v>33</v>
      </c>
      <c r="J142" t="s">
        <v>34</v>
      </c>
      <c r="K142" t="s">
        <v>35</v>
      </c>
      <c r="L142" t="s">
        <v>36</v>
      </c>
      <c r="M142" t="s">
        <v>33</v>
      </c>
      <c r="N142" t="s">
        <v>34</v>
      </c>
      <c r="O142" t="s">
        <v>35</v>
      </c>
      <c r="P142" t="s">
        <v>36</v>
      </c>
      <c r="Q142" t="s">
        <v>33</v>
      </c>
      <c r="R142" t="s">
        <v>34</v>
      </c>
      <c r="S142" t="s">
        <v>35</v>
      </c>
      <c r="T142" t="s">
        <v>36</v>
      </c>
    </row>
    <row r="143" spans="1:20" x14ac:dyDescent="0.2">
      <c r="A143">
        <v>0</v>
      </c>
      <c r="B143">
        <v>0</v>
      </c>
      <c r="C143">
        <f>B143-B$146</f>
        <v>4.9509999999999996</v>
      </c>
      <c r="D143" s="3">
        <f>B143/B$146</f>
        <v>0</v>
      </c>
      <c r="E143">
        <v>0</v>
      </c>
      <c r="F143">
        <v>0</v>
      </c>
      <c r="G143">
        <f>F143-F$146</f>
        <v>4.9569999999999999</v>
      </c>
      <c r="H143" s="3">
        <f>F143/F$146</f>
        <v>0</v>
      </c>
      <c r="I143">
        <v>0</v>
      </c>
      <c r="J143">
        <v>0</v>
      </c>
      <c r="K143">
        <f>J143-J$146</f>
        <v>4.72</v>
      </c>
      <c r="L143" s="3">
        <f>J143/J$146</f>
        <v>0</v>
      </c>
      <c r="M143">
        <v>0</v>
      </c>
      <c r="N143">
        <v>0</v>
      </c>
      <c r="O143">
        <f>N143-N$146</f>
        <v>4.1829999999999998</v>
      </c>
      <c r="P143" s="3">
        <f>N143/N$146</f>
        <v>0</v>
      </c>
      <c r="Q143">
        <v>0</v>
      </c>
      <c r="R143">
        <v>0</v>
      </c>
      <c r="S143">
        <f>R143-R$146</f>
        <v>4.4770000000000003</v>
      </c>
      <c r="T143" s="3">
        <f>R143/R$146</f>
        <v>0</v>
      </c>
    </row>
    <row r="144" spans="1:20" x14ac:dyDescent="0.2">
      <c r="A144">
        <v>1</v>
      </c>
      <c r="B144">
        <v>-0.67849999999999999</v>
      </c>
      <c r="C144">
        <f t="shared" ref="C144:C146" si="64">B144-B$146</f>
        <v>4.2725</v>
      </c>
      <c r="D144" s="3">
        <f t="shared" ref="D144:D146" si="65">B144/B$146</f>
        <v>0.1370430216117956</v>
      </c>
      <c r="E144">
        <v>1</v>
      </c>
      <c r="F144">
        <v>-0.74719999999999998</v>
      </c>
      <c r="G144">
        <f t="shared" ref="G144:G146" si="66">F144-F$146</f>
        <v>4.2097999999999995</v>
      </c>
      <c r="H144" s="3">
        <f t="shared" ref="H144:H146" si="67">F144/F$146</f>
        <v>0.15073633245914869</v>
      </c>
      <c r="I144">
        <v>1</v>
      </c>
      <c r="J144">
        <v>-0.65349999999999997</v>
      </c>
      <c r="K144">
        <f t="shared" ref="K144:K146" si="68">J144-J$146</f>
        <v>4.0664999999999996</v>
      </c>
      <c r="L144" s="3">
        <f t="shared" ref="L144:L146" si="69">J144/J$146</f>
        <v>0.13845338983050848</v>
      </c>
      <c r="M144">
        <v>1</v>
      </c>
      <c r="N144">
        <v>-0.88629999999999998</v>
      </c>
      <c r="O144">
        <f t="shared" ref="O144:O146" si="70">N144-N$146</f>
        <v>3.2967</v>
      </c>
      <c r="P144" s="3">
        <f t="shared" ref="P144:P146" si="71">N144/N$146</f>
        <v>0.21188142481472627</v>
      </c>
      <c r="Q144">
        <v>1</v>
      </c>
      <c r="R144">
        <v>-0.78069999999999995</v>
      </c>
      <c r="S144">
        <f t="shared" ref="S144:S146" si="72">R144-R$146</f>
        <v>3.6963000000000004</v>
      </c>
      <c r="T144" s="3">
        <f t="shared" ref="T144:T146" si="73">R144/R$146</f>
        <v>0.17438016528925618</v>
      </c>
    </row>
    <row r="145" spans="1:20" x14ac:dyDescent="0.2">
      <c r="A145">
        <v>2</v>
      </c>
      <c r="B145">
        <v>-2.5640000000000001</v>
      </c>
      <c r="C145">
        <f t="shared" si="64"/>
        <v>2.3869999999999996</v>
      </c>
      <c r="D145" s="3">
        <f t="shared" si="65"/>
        <v>0.51787517673197336</v>
      </c>
      <c r="E145">
        <v>2</v>
      </c>
      <c r="F145">
        <v>-2.266</v>
      </c>
      <c r="G145">
        <f t="shared" si="66"/>
        <v>2.6909999999999998</v>
      </c>
      <c r="H145" s="3">
        <f t="shared" si="67"/>
        <v>0.4571313294331249</v>
      </c>
      <c r="I145">
        <v>2</v>
      </c>
      <c r="J145">
        <v>-2.4449999999999998</v>
      </c>
      <c r="K145">
        <f t="shared" si="68"/>
        <v>2.2749999999999999</v>
      </c>
      <c r="L145" s="3">
        <f t="shared" si="69"/>
        <v>0.51800847457627119</v>
      </c>
      <c r="M145">
        <v>2</v>
      </c>
      <c r="N145">
        <v>-2.4809999999999999</v>
      </c>
      <c r="O145">
        <f t="shared" si="70"/>
        <v>1.702</v>
      </c>
      <c r="P145" s="3">
        <f t="shared" si="71"/>
        <v>0.59311498924217065</v>
      </c>
      <c r="Q145">
        <v>2</v>
      </c>
      <c r="R145">
        <v>-1.8959999999999999</v>
      </c>
      <c r="S145">
        <f t="shared" si="72"/>
        <v>2.5810000000000004</v>
      </c>
      <c r="T145" s="3">
        <f t="shared" si="73"/>
        <v>0.42349787804333255</v>
      </c>
    </row>
    <row r="146" spans="1:20" x14ac:dyDescent="0.2">
      <c r="A146">
        <v>3</v>
      </c>
      <c r="B146">
        <v>-4.9509999999999996</v>
      </c>
      <c r="C146">
        <f t="shared" si="64"/>
        <v>0</v>
      </c>
      <c r="D146" s="3">
        <f t="shared" si="65"/>
        <v>1</v>
      </c>
      <c r="E146">
        <v>3</v>
      </c>
      <c r="F146">
        <v>-4.9569999999999999</v>
      </c>
      <c r="G146">
        <f t="shared" si="66"/>
        <v>0</v>
      </c>
      <c r="H146" s="3">
        <f t="shared" si="67"/>
        <v>1</v>
      </c>
      <c r="I146">
        <v>3</v>
      </c>
      <c r="J146">
        <v>-4.72</v>
      </c>
      <c r="K146">
        <f t="shared" si="68"/>
        <v>0</v>
      </c>
      <c r="L146" s="3">
        <f t="shared" si="69"/>
        <v>1</v>
      </c>
      <c r="M146">
        <v>3</v>
      </c>
      <c r="N146">
        <v>-4.1829999999999998</v>
      </c>
      <c r="O146">
        <f t="shared" si="70"/>
        <v>0</v>
      </c>
      <c r="P146" s="3">
        <f t="shared" si="71"/>
        <v>1</v>
      </c>
      <c r="Q146">
        <v>3</v>
      </c>
      <c r="R146">
        <v>-4.4770000000000003</v>
      </c>
      <c r="S146">
        <f t="shared" si="72"/>
        <v>0</v>
      </c>
      <c r="T146" s="3">
        <f t="shared" si="73"/>
        <v>1</v>
      </c>
    </row>
    <row r="148" spans="1:20" x14ac:dyDescent="0.2">
      <c r="A148" t="s">
        <v>48</v>
      </c>
      <c r="D148">
        <v>1002</v>
      </c>
      <c r="H148">
        <v>1000</v>
      </c>
      <c r="L148">
        <v>1001</v>
      </c>
      <c r="P148">
        <v>1003</v>
      </c>
    </row>
    <row r="149" spans="1:20" x14ac:dyDescent="0.2">
      <c r="A149" t="s">
        <v>33</v>
      </c>
      <c r="B149" t="s">
        <v>34</v>
      </c>
      <c r="C149" t="s">
        <v>35</v>
      </c>
      <c r="D149" t="s">
        <v>36</v>
      </c>
      <c r="E149" t="s">
        <v>33</v>
      </c>
      <c r="F149" t="s">
        <v>34</v>
      </c>
      <c r="G149" t="s">
        <v>35</v>
      </c>
      <c r="H149" t="s">
        <v>36</v>
      </c>
      <c r="I149" t="s">
        <v>33</v>
      </c>
      <c r="J149" t="s">
        <v>34</v>
      </c>
      <c r="K149" t="s">
        <v>35</v>
      </c>
      <c r="L149" t="s">
        <v>36</v>
      </c>
      <c r="M149" t="s">
        <v>33</v>
      </c>
      <c r="N149" t="s">
        <v>34</v>
      </c>
      <c r="O149" t="s">
        <v>35</v>
      </c>
      <c r="P149" t="s">
        <v>36</v>
      </c>
    </row>
    <row r="150" spans="1:20" x14ac:dyDescent="0.2">
      <c r="A150">
        <v>0</v>
      </c>
      <c r="B150">
        <v>0</v>
      </c>
      <c r="C150">
        <f>B150-B$153</f>
        <v>4.3739999999999997</v>
      </c>
      <c r="D150" s="3">
        <f>B150/B$153</f>
        <v>0</v>
      </c>
      <c r="E150">
        <v>0</v>
      </c>
      <c r="F150">
        <v>0</v>
      </c>
      <c r="G150" s="5">
        <f>F150-F$153</f>
        <v>4.3209999999999997</v>
      </c>
      <c r="H150" s="3">
        <f>F150/F$153</f>
        <v>0</v>
      </c>
      <c r="I150">
        <v>0</v>
      </c>
      <c r="J150">
        <v>0</v>
      </c>
      <c r="K150" s="6">
        <f>J150-J$153</f>
        <v>4.2060000000000004</v>
      </c>
      <c r="L150" s="3">
        <f>J150/J$153</f>
        <v>0</v>
      </c>
      <c r="M150">
        <v>0</v>
      </c>
      <c r="N150">
        <v>0</v>
      </c>
      <c r="O150">
        <f>N150-N$153</f>
        <v>4.4870000000000001</v>
      </c>
      <c r="P150" s="3">
        <f>N150/N$153</f>
        <v>0</v>
      </c>
    </row>
    <row r="151" spans="1:20" x14ac:dyDescent="0.2">
      <c r="A151">
        <v>1</v>
      </c>
      <c r="B151">
        <v>-0.9</v>
      </c>
      <c r="C151">
        <f t="shared" ref="C151:C153" si="74">B151-B$153</f>
        <v>3.4739999999999998</v>
      </c>
      <c r="D151" s="3">
        <f t="shared" ref="D151:D153" si="75">B151/B$153</f>
        <v>0.20576131687242799</v>
      </c>
      <c r="E151">
        <v>1</v>
      </c>
      <c r="F151">
        <v>-1.075</v>
      </c>
      <c r="G151">
        <f t="shared" ref="G151:G153" si="76">F151-F$153</f>
        <v>3.2459999999999996</v>
      </c>
      <c r="H151" s="3">
        <f t="shared" ref="H151:H153" si="77">F151/F$153</f>
        <v>0.24878500347141866</v>
      </c>
      <c r="I151">
        <v>1</v>
      </c>
      <c r="J151">
        <v>-0.41520000000000001</v>
      </c>
      <c r="K151">
        <f t="shared" ref="K151:K153" si="78">J151-J$153</f>
        <v>3.7908000000000004</v>
      </c>
      <c r="L151" s="3">
        <f t="shared" ref="L151:L153" si="79">J151/J$153</f>
        <v>9.8716119828815965E-2</v>
      </c>
      <c r="M151">
        <v>1</v>
      </c>
      <c r="N151">
        <v>-0.55769999999999997</v>
      </c>
      <c r="O151">
        <f t="shared" ref="O151:O153" si="80">N151-N$153</f>
        <v>3.9293</v>
      </c>
      <c r="P151" s="3">
        <f t="shared" ref="P151:P153" si="81">N151/N$153</f>
        <v>0.12429240026743926</v>
      </c>
    </row>
    <row r="152" spans="1:20" x14ac:dyDescent="0.2">
      <c r="A152">
        <v>2</v>
      </c>
      <c r="B152">
        <v>-2.1579999999999999</v>
      </c>
      <c r="C152">
        <f t="shared" si="74"/>
        <v>2.2159999999999997</v>
      </c>
      <c r="D152" s="3">
        <f t="shared" si="75"/>
        <v>0.49336991312299955</v>
      </c>
      <c r="E152">
        <v>2</v>
      </c>
      <c r="F152">
        <v>-2.6880000000000002</v>
      </c>
      <c r="G152">
        <f t="shared" si="76"/>
        <v>1.6329999999999996</v>
      </c>
      <c r="H152" s="3">
        <f t="shared" si="77"/>
        <v>0.62207822263364965</v>
      </c>
      <c r="I152">
        <v>2</v>
      </c>
      <c r="J152">
        <v>-1.921</v>
      </c>
      <c r="K152">
        <f t="shared" si="78"/>
        <v>2.2850000000000001</v>
      </c>
      <c r="L152" s="3">
        <f t="shared" si="79"/>
        <v>0.45672848311935327</v>
      </c>
      <c r="M152">
        <v>2</v>
      </c>
      <c r="N152">
        <v>-2.2069999999999999</v>
      </c>
      <c r="O152">
        <f t="shared" si="80"/>
        <v>2.2800000000000002</v>
      </c>
      <c r="P152" s="3">
        <f t="shared" si="81"/>
        <v>0.4918653889012703</v>
      </c>
    </row>
    <row r="153" spans="1:20" x14ac:dyDescent="0.2">
      <c r="A153">
        <v>3</v>
      </c>
      <c r="B153" s="4">
        <v>-4.3739999999999997</v>
      </c>
      <c r="C153">
        <f t="shared" si="74"/>
        <v>0</v>
      </c>
      <c r="D153" s="3">
        <f t="shared" si="75"/>
        <v>1</v>
      </c>
      <c r="E153">
        <v>3</v>
      </c>
      <c r="F153" s="5">
        <v>-4.3209999999999997</v>
      </c>
      <c r="G153">
        <f t="shared" si="76"/>
        <v>0</v>
      </c>
      <c r="H153" s="3">
        <f t="shared" si="77"/>
        <v>1</v>
      </c>
      <c r="I153">
        <v>3</v>
      </c>
      <c r="J153" s="5">
        <v>-4.2060000000000004</v>
      </c>
      <c r="K153">
        <f t="shared" si="78"/>
        <v>0</v>
      </c>
      <c r="L153" s="3">
        <f t="shared" si="79"/>
        <v>1</v>
      </c>
      <c r="M153">
        <v>3</v>
      </c>
      <c r="N153" s="4">
        <v>-4.4870000000000001</v>
      </c>
      <c r="O153">
        <f t="shared" si="80"/>
        <v>0</v>
      </c>
      <c r="P153" s="3">
        <f t="shared" si="81"/>
        <v>1</v>
      </c>
    </row>
    <row r="155" spans="1:20" x14ac:dyDescent="0.2">
      <c r="A155" t="s">
        <v>49</v>
      </c>
      <c r="D155">
        <v>5000</v>
      </c>
      <c r="H155">
        <v>5001</v>
      </c>
      <c r="L155">
        <v>5002</v>
      </c>
    </row>
    <row r="156" spans="1:20" x14ac:dyDescent="0.2">
      <c r="A156" t="s">
        <v>33</v>
      </c>
      <c r="B156" t="s">
        <v>34</v>
      </c>
      <c r="C156" t="s">
        <v>35</v>
      </c>
      <c r="D156" t="s">
        <v>36</v>
      </c>
      <c r="E156" t="s">
        <v>33</v>
      </c>
      <c r="F156" t="s">
        <v>34</v>
      </c>
      <c r="G156" t="s">
        <v>35</v>
      </c>
      <c r="H156" t="s">
        <v>36</v>
      </c>
      <c r="I156" t="s">
        <v>33</v>
      </c>
      <c r="J156" t="s">
        <v>34</v>
      </c>
      <c r="K156" t="s">
        <v>35</v>
      </c>
      <c r="L156" t="s">
        <v>36</v>
      </c>
    </row>
    <row r="157" spans="1:20" x14ac:dyDescent="0.2">
      <c r="A157">
        <v>0</v>
      </c>
      <c r="B157">
        <v>0</v>
      </c>
      <c r="C157">
        <f>B157-B$160</f>
        <v>4.2489999999999997</v>
      </c>
      <c r="D157">
        <f>B157/B$160</f>
        <v>0</v>
      </c>
      <c r="E157">
        <v>0</v>
      </c>
      <c r="F157">
        <v>0</v>
      </c>
      <c r="G157">
        <f>F157-F$160</f>
        <v>4.1230000000000002</v>
      </c>
      <c r="H157">
        <f>F157/F$160</f>
        <v>0</v>
      </c>
      <c r="I157">
        <v>0</v>
      </c>
      <c r="J157">
        <v>0</v>
      </c>
      <c r="K157">
        <f>J157-J$160</f>
        <v>4.1040000000000001</v>
      </c>
      <c r="L157">
        <f>J157/J$160</f>
        <v>0</v>
      </c>
    </row>
    <row r="158" spans="1:20" x14ac:dyDescent="0.2">
      <c r="A158">
        <v>1</v>
      </c>
      <c r="B158">
        <v>-0.52580000000000005</v>
      </c>
      <c r="C158">
        <f t="shared" ref="C158:C160" si="82">B158-B$160</f>
        <v>3.7231999999999994</v>
      </c>
      <c r="D158">
        <f t="shared" ref="D158:D160" si="83">B158/B$160</f>
        <v>0.12374676394445754</v>
      </c>
      <c r="E158">
        <v>1</v>
      </c>
      <c r="F158">
        <v>-0.65800000000000003</v>
      </c>
      <c r="G158">
        <f t="shared" ref="G158:G160" si="84">F158-F$160</f>
        <v>3.4650000000000003</v>
      </c>
      <c r="H158">
        <f t="shared" ref="H158:H160" si="85">F158/F$160</f>
        <v>0.15959252971137522</v>
      </c>
      <c r="I158">
        <v>1</v>
      </c>
      <c r="J158">
        <v>-0.81430000000000002</v>
      </c>
      <c r="K158">
        <f t="shared" ref="K158:K160" si="86">J158-J$160</f>
        <v>3.2896999999999998</v>
      </c>
      <c r="L158">
        <f t="shared" ref="L158:L160" si="87">J158/J$160</f>
        <v>0.19841617933723196</v>
      </c>
    </row>
    <row r="159" spans="1:20" x14ac:dyDescent="0.2">
      <c r="A159">
        <v>2</v>
      </c>
      <c r="B159">
        <v>-1.73</v>
      </c>
      <c r="C159">
        <f t="shared" si="82"/>
        <v>2.5189999999999997</v>
      </c>
      <c r="D159">
        <f t="shared" si="83"/>
        <v>0.40715462461755708</v>
      </c>
      <c r="E159">
        <v>2</v>
      </c>
      <c r="F159">
        <v>-1.8640000000000001</v>
      </c>
      <c r="G159">
        <f t="shared" si="84"/>
        <v>2.2590000000000003</v>
      </c>
      <c r="H159">
        <f t="shared" si="85"/>
        <v>0.45209798690274072</v>
      </c>
      <c r="I159">
        <v>2</v>
      </c>
      <c r="J159">
        <v>-2.7679999999999998</v>
      </c>
      <c r="K159">
        <f t="shared" si="86"/>
        <v>1.3360000000000003</v>
      </c>
      <c r="L159">
        <f t="shared" si="87"/>
        <v>0.67446393762183232</v>
      </c>
    </row>
    <row r="160" spans="1:20" x14ac:dyDescent="0.2">
      <c r="A160">
        <v>3</v>
      </c>
      <c r="B160">
        <v>-4.2489999999999997</v>
      </c>
      <c r="C160">
        <f t="shared" si="82"/>
        <v>0</v>
      </c>
      <c r="D160">
        <f t="shared" si="83"/>
        <v>1</v>
      </c>
      <c r="E160">
        <v>3</v>
      </c>
      <c r="F160">
        <v>-4.1230000000000002</v>
      </c>
      <c r="G160">
        <f t="shared" si="84"/>
        <v>0</v>
      </c>
      <c r="H160">
        <f t="shared" si="85"/>
        <v>1</v>
      </c>
      <c r="I160">
        <v>3</v>
      </c>
      <c r="J160">
        <v>-4.1040000000000001</v>
      </c>
      <c r="K160">
        <f t="shared" si="86"/>
        <v>0</v>
      </c>
      <c r="L160">
        <f t="shared" si="87"/>
        <v>1</v>
      </c>
    </row>
    <row r="162" spans="1:24" x14ac:dyDescent="0.2">
      <c r="A162" t="s">
        <v>47</v>
      </c>
      <c r="D162">
        <v>9000</v>
      </c>
      <c r="H162">
        <v>9001</v>
      </c>
      <c r="L162">
        <v>9002</v>
      </c>
      <c r="P162" t="s">
        <v>52</v>
      </c>
      <c r="T162" t="s">
        <v>53</v>
      </c>
    </row>
    <row r="163" spans="1:24" x14ac:dyDescent="0.2">
      <c r="A163" t="s">
        <v>33</v>
      </c>
      <c r="B163" t="s">
        <v>34</v>
      </c>
      <c r="C163" t="s">
        <v>35</v>
      </c>
      <c r="D163" t="s">
        <v>36</v>
      </c>
      <c r="E163" t="s">
        <v>33</v>
      </c>
      <c r="F163" t="s">
        <v>34</v>
      </c>
      <c r="G163" t="s">
        <v>35</v>
      </c>
      <c r="H163" t="s">
        <v>36</v>
      </c>
      <c r="I163" t="s">
        <v>33</v>
      </c>
      <c r="J163" t="s">
        <v>34</v>
      </c>
      <c r="K163" t="s">
        <v>35</v>
      </c>
      <c r="L163" t="s">
        <v>36</v>
      </c>
      <c r="M163" t="s">
        <v>33</v>
      </c>
      <c r="N163" t="s">
        <v>34</v>
      </c>
      <c r="O163" t="s">
        <v>35</v>
      </c>
      <c r="P163" t="s">
        <v>36</v>
      </c>
      <c r="Q163" t="s">
        <v>33</v>
      </c>
      <c r="R163" t="s">
        <v>34</v>
      </c>
      <c r="S163" t="s">
        <v>35</v>
      </c>
      <c r="T163" t="s">
        <v>36</v>
      </c>
    </row>
    <row r="164" spans="1:24" x14ac:dyDescent="0.2">
      <c r="A164">
        <v>0</v>
      </c>
      <c r="B164">
        <v>0</v>
      </c>
      <c r="C164">
        <f>B164-B$167</f>
        <v>4.2939999999999996</v>
      </c>
      <c r="D164">
        <f>B164/B$167</f>
        <v>0</v>
      </c>
      <c r="E164">
        <v>0</v>
      </c>
      <c r="F164">
        <v>0</v>
      </c>
      <c r="G164">
        <f>F164-F$167</f>
        <v>4.3570000000000002</v>
      </c>
      <c r="H164">
        <f>F164/F$167</f>
        <v>0</v>
      </c>
      <c r="I164">
        <v>0</v>
      </c>
      <c r="J164">
        <v>0</v>
      </c>
      <c r="K164">
        <f>J164-J$167</f>
        <v>4.1429999999999998</v>
      </c>
      <c r="L164">
        <f>J164/J$167</f>
        <v>0</v>
      </c>
      <c r="M164">
        <v>0</v>
      </c>
      <c r="N164">
        <v>0</v>
      </c>
      <c r="O164">
        <f>N164-N$167</f>
        <v>4.3949999999999996</v>
      </c>
      <c r="P164">
        <f>N164/N$167</f>
        <v>0</v>
      </c>
      <c r="Q164">
        <v>0</v>
      </c>
      <c r="R164">
        <v>0</v>
      </c>
      <c r="S164">
        <f>R164-R$167</f>
        <v>4.03</v>
      </c>
      <c r="T164">
        <f>R164/R$167</f>
        <v>0</v>
      </c>
    </row>
    <row r="165" spans="1:24" x14ac:dyDescent="0.2">
      <c r="A165">
        <v>1</v>
      </c>
      <c r="B165">
        <v>-0.7157</v>
      </c>
      <c r="C165">
        <f t="shared" ref="C165:C167" si="88">B165-B$167</f>
        <v>3.5782999999999996</v>
      </c>
      <c r="D165">
        <f t="shared" ref="D165:D167" si="89">B165/B$167</f>
        <v>0.16667442943642294</v>
      </c>
      <c r="E165">
        <v>1</v>
      </c>
      <c r="F165">
        <v>-0.7661</v>
      </c>
      <c r="G165">
        <f t="shared" ref="G165:G167" si="90">F165-F$167</f>
        <v>3.5909000000000004</v>
      </c>
      <c r="H165">
        <f t="shared" ref="H165:H167" si="91">F165/F$167</f>
        <v>0.17583199449162268</v>
      </c>
      <c r="I165">
        <v>1</v>
      </c>
      <c r="J165">
        <v>-0.74050000000000005</v>
      </c>
      <c r="K165">
        <f t="shared" ref="K165:K167" si="92">J165-J$167</f>
        <v>3.4024999999999999</v>
      </c>
      <c r="L165">
        <f t="shared" ref="L165:L167" si="93">J165/J$167</f>
        <v>0.17873521602703357</v>
      </c>
      <c r="M165">
        <v>1</v>
      </c>
      <c r="N165">
        <v>-0.61850000000000005</v>
      </c>
      <c r="O165">
        <f t="shared" ref="O165:O167" si="94">N165-N$167</f>
        <v>3.7764999999999995</v>
      </c>
      <c r="P165">
        <f t="shared" ref="P165:P167" si="95">N165/N$167</f>
        <v>0.14072810011376566</v>
      </c>
      <c r="Q165">
        <v>1</v>
      </c>
      <c r="R165">
        <v>-0.54530000000000001</v>
      </c>
      <c r="S165">
        <f t="shared" ref="S165:S167" si="96">R165-R$167</f>
        <v>3.4847000000000001</v>
      </c>
      <c r="T165">
        <f t="shared" ref="T165:T167" si="97">R165/R$167</f>
        <v>0.13531017369727047</v>
      </c>
    </row>
    <row r="166" spans="1:24" x14ac:dyDescent="0.2">
      <c r="A166">
        <v>2</v>
      </c>
      <c r="B166">
        <v>-2.5470000000000002</v>
      </c>
      <c r="C166">
        <f t="shared" si="88"/>
        <v>1.7469999999999994</v>
      </c>
      <c r="D166">
        <f t="shared" si="89"/>
        <v>0.59315323707498846</v>
      </c>
      <c r="E166">
        <v>2</v>
      </c>
      <c r="F166">
        <v>-1.7869999999999999</v>
      </c>
      <c r="G166">
        <f t="shared" si="90"/>
        <v>2.5700000000000003</v>
      </c>
      <c r="H166">
        <f t="shared" si="91"/>
        <v>0.41014459490475091</v>
      </c>
      <c r="I166">
        <v>2</v>
      </c>
      <c r="J166">
        <v>-2.181</v>
      </c>
      <c r="K166">
        <f t="shared" si="92"/>
        <v>1.9619999999999997</v>
      </c>
      <c r="L166">
        <f t="shared" si="93"/>
        <v>0.52643012309920356</v>
      </c>
      <c r="M166">
        <v>2</v>
      </c>
      <c r="N166">
        <v>-1.91</v>
      </c>
      <c r="O166">
        <f t="shared" si="94"/>
        <v>2.4849999999999994</v>
      </c>
      <c r="P166">
        <f t="shared" si="95"/>
        <v>0.43458475540386804</v>
      </c>
      <c r="Q166">
        <v>2</v>
      </c>
      <c r="R166">
        <v>-1.7709999999999999</v>
      </c>
      <c r="S166">
        <f t="shared" si="96"/>
        <v>2.2590000000000003</v>
      </c>
      <c r="T166">
        <f t="shared" si="97"/>
        <v>0.43945409429280391</v>
      </c>
    </row>
    <row r="167" spans="1:24" x14ac:dyDescent="0.2">
      <c r="A167">
        <v>3</v>
      </c>
      <c r="B167">
        <v>-4.2939999999999996</v>
      </c>
      <c r="C167">
        <f t="shared" si="88"/>
        <v>0</v>
      </c>
      <c r="D167">
        <f t="shared" si="89"/>
        <v>1</v>
      </c>
      <c r="E167">
        <v>3</v>
      </c>
      <c r="F167">
        <v>-4.3570000000000002</v>
      </c>
      <c r="G167">
        <f t="shared" si="90"/>
        <v>0</v>
      </c>
      <c r="H167">
        <f t="shared" si="91"/>
        <v>1</v>
      </c>
      <c r="I167">
        <v>3</v>
      </c>
      <c r="J167">
        <v>-4.1429999999999998</v>
      </c>
      <c r="K167">
        <f t="shared" si="92"/>
        <v>0</v>
      </c>
      <c r="L167">
        <f t="shared" si="93"/>
        <v>1</v>
      </c>
      <c r="M167">
        <v>3</v>
      </c>
      <c r="N167">
        <v>-4.3949999999999996</v>
      </c>
      <c r="O167">
        <f t="shared" si="94"/>
        <v>0</v>
      </c>
      <c r="P167">
        <f t="shared" si="95"/>
        <v>1</v>
      </c>
      <c r="Q167">
        <v>3</v>
      </c>
      <c r="R167">
        <v>-4.03</v>
      </c>
      <c r="S167">
        <f t="shared" si="96"/>
        <v>0</v>
      </c>
      <c r="T167">
        <f t="shared" si="97"/>
        <v>1</v>
      </c>
    </row>
    <row r="169" spans="1:24" x14ac:dyDescent="0.2">
      <c r="A169" t="s">
        <v>7</v>
      </c>
      <c r="D169">
        <v>2000</v>
      </c>
      <c r="H169">
        <v>8001</v>
      </c>
      <c r="L169">
        <v>8002</v>
      </c>
    </row>
    <row r="170" spans="1:24" x14ac:dyDescent="0.2">
      <c r="A170" t="s">
        <v>33</v>
      </c>
      <c r="B170" t="s">
        <v>34</v>
      </c>
      <c r="C170" t="s">
        <v>35</v>
      </c>
      <c r="D170" t="s">
        <v>36</v>
      </c>
      <c r="E170" t="s">
        <v>33</v>
      </c>
      <c r="F170" t="s">
        <v>34</v>
      </c>
      <c r="G170" t="s">
        <v>35</v>
      </c>
      <c r="H170" t="s">
        <v>36</v>
      </c>
      <c r="I170" t="s">
        <v>33</v>
      </c>
      <c r="J170" t="s">
        <v>34</v>
      </c>
      <c r="K170" t="s">
        <v>35</v>
      </c>
      <c r="L170" t="s">
        <v>36</v>
      </c>
    </row>
    <row r="171" spans="1:24" x14ac:dyDescent="0.2">
      <c r="A171">
        <v>0</v>
      </c>
      <c r="B171">
        <v>0</v>
      </c>
      <c r="C171">
        <f>B171-B$174</f>
        <v>4.1399999999999997</v>
      </c>
      <c r="D171">
        <f>B171/B$174</f>
        <v>0</v>
      </c>
      <c r="E171">
        <v>0</v>
      </c>
      <c r="F171">
        <v>0</v>
      </c>
      <c r="G171">
        <f>F171-F$174</f>
        <v>4.3</v>
      </c>
      <c r="H171">
        <f>F171/F$174</f>
        <v>0</v>
      </c>
      <c r="I171">
        <v>0</v>
      </c>
      <c r="J171">
        <v>0</v>
      </c>
      <c r="K171">
        <f>J171-J$174</f>
        <v>4.1269999999999998</v>
      </c>
      <c r="L171">
        <f>J171/J$174</f>
        <v>0</v>
      </c>
    </row>
    <row r="172" spans="1:24" x14ac:dyDescent="0.2">
      <c r="A172">
        <v>1</v>
      </c>
      <c r="B172">
        <v>-1.099</v>
      </c>
      <c r="C172">
        <f t="shared" ref="C172:C174" si="98">B172-B$174</f>
        <v>3.0409999999999995</v>
      </c>
      <c r="D172">
        <f t="shared" ref="D172:D174" si="99">B172/B$174</f>
        <v>0.26545893719806762</v>
      </c>
      <c r="E172">
        <v>1</v>
      </c>
      <c r="F172">
        <v>-1.3540000000000001</v>
      </c>
      <c r="G172">
        <f t="shared" ref="G172:G174" si="100">F172-F$174</f>
        <v>2.9459999999999997</v>
      </c>
      <c r="H172">
        <f t="shared" ref="H172:H174" si="101">F172/F$174</f>
        <v>0.31488372093023259</v>
      </c>
      <c r="I172">
        <v>1</v>
      </c>
      <c r="J172">
        <v>-1.1240000000000001</v>
      </c>
      <c r="K172">
        <f t="shared" ref="K172:K174" si="102">J172-J$174</f>
        <v>3.0029999999999997</v>
      </c>
      <c r="L172">
        <f t="shared" ref="L172:L174" si="103">J172/J$174</f>
        <v>0.27235279864308221</v>
      </c>
    </row>
    <row r="173" spans="1:24" x14ac:dyDescent="0.2">
      <c r="A173">
        <v>2</v>
      </c>
      <c r="B173">
        <v>-2.27</v>
      </c>
      <c r="C173">
        <f t="shared" si="98"/>
        <v>1.8699999999999997</v>
      </c>
      <c r="D173">
        <f t="shared" si="99"/>
        <v>0.54830917874396135</v>
      </c>
      <c r="E173">
        <v>2</v>
      </c>
      <c r="F173">
        <v>-2.4529999999999998</v>
      </c>
      <c r="G173">
        <f t="shared" si="100"/>
        <v>1.847</v>
      </c>
      <c r="H173">
        <f t="shared" si="101"/>
        <v>0.57046511627906971</v>
      </c>
      <c r="I173">
        <v>2</v>
      </c>
      <c r="J173">
        <v>-2.17</v>
      </c>
      <c r="K173">
        <f t="shared" si="102"/>
        <v>1.9569999999999999</v>
      </c>
      <c r="L173">
        <f t="shared" si="103"/>
        <v>0.52580566997819245</v>
      </c>
    </row>
    <row r="174" spans="1:24" x14ac:dyDescent="0.2">
      <c r="A174">
        <v>3</v>
      </c>
      <c r="B174">
        <v>-4.1399999999999997</v>
      </c>
      <c r="C174">
        <f t="shared" si="98"/>
        <v>0</v>
      </c>
      <c r="D174">
        <f t="shared" si="99"/>
        <v>1</v>
      </c>
      <c r="E174">
        <v>3</v>
      </c>
      <c r="F174">
        <v>-4.3</v>
      </c>
      <c r="G174">
        <f t="shared" si="100"/>
        <v>0</v>
      </c>
      <c r="H174">
        <f t="shared" si="101"/>
        <v>1</v>
      </c>
      <c r="I174">
        <v>3</v>
      </c>
      <c r="J174">
        <v>-4.1269999999999998</v>
      </c>
      <c r="K174">
        <f t="shared" si="102"/>
        <v>0</v>
      </c>
      <c r="L174">
        <f t="shared" si="103"/>
        <v>1</v>
      </c>
    </row>
    <row r="176" spans="1:24" x14ac:dyDescent="0.2">
      <c r="A176" t="s">
        <v>10</v>
      </c>
      <c r="D176">
        <v>2001</v>
      </c>
      <c r="H176">
        <v>2002</v>
      </c>
      <c r="L176">
        <v>3000</v>
      </c>
      <c r="P176">
        <v>3001</v>
      </c>
      <c r="T176">
        <v>3002</v>
      </c>
      <c r="X176" t="s">
        <v>54</v>
      </c>
    </row>
    <row r="177" spans="1:24" x14ac:dyDescent="0.2">
      <c r="A177" t="s">
        <v>33</v>
      </c>
      <c r="B177" t="s">
        <v>34</v>
      </c>
      <c r="C177" t="s">
        <v>35</v>
      </c>
      <c r="D177" t="s">
        <v>36</v>
      </c>
      <c r="E177" t="s">
        <v>33</v>
      </c>
      <c r="F177" t="s">
        <v>34</v>
      </c>
      <c r="G177" t="s">
        <v>35</v>
      </c>
      <c r="H177" t="s">
        <v>36</v>
      </c>
      <c r="I177" t="s">
        <v>33</v>
      </c>
      <c r="J177" t="s">
        <v>34</v>
      </c>
      <c r="K177" t="s">
        <v>35</v>
      </c>
      <c r="L177" t="s">
        <v>36</v>
      </c>
      <c r="M177" t="s">
        <v>33</v>
      </c>
      <c r="N177" t="s">
        <v>34</v>
      </c>
      <c r="O177" t="s">
        <v>35</v>
      </c>
      <c r="P177" t="s">
        <v>36</v>
      </c>
      <c r="Q177" t="s">
        <v>33</v>
      </c>
      <c r="R177" t="s">
        <v>34</v>
      </c>
      <c r="S177" t="s">
        <v>35</v>
      </c>
      <c r="T177" t="s">
        <v>36</v>
      </c>
      <c r="U177" t="s">
        <v>33</v>
      </c>
      <c r="V177" t="s">
        <v>34</v>
      </c>
      <c r="W177" t="s">
        <v>35</v>
      </c>
      <c r="X177" t="s">
        <v>36</v>
      </c>
    </row>
    <row r="178" spans="1:24" x14ac:dyDescent="0.2">
      <c r="A178">
        <v>0</v>
      </c>
      <c r="B178">
        <v>0</v>
      </c>
      <c r="C178">
        <f>B178-B$181</f>
        <v>3.9660000000000002</v>
      </c>
      <c r="D178">
        <f>B178/B$181</f>
        <v>0</v>
      </c>
      <c r="E178">
        <v>0</v>
      </c>
      <c r="F178">
        <v>0</v>
      </c>
      <c r="G178">
        <f>F178-F$181</f>
        <v>4.08</v>
      </c>
      <c r="H178">
        <f>F178/F$181</f>
        <v>0</v>
      </c>
      <c r="I178">
        <v>0</v>
      </c>
      <c r="J178">
        <v>0</v>
      </c>
      <c r="K178">
        <f>J178-J$181</f>
        <v>3.8980000000000001</v>
      </c>
      <c r="L178">
        <f>J178/J$181</f>
        <v>0</v>
      </c>
      <c r="M178">
        <v>0</v>
      </c>
      <c r="N178">
        <v>0</v>
      </c>
      <c r="O178">
        <f>N178-N$181</f>
        <v>3.0409999999999999</v>
      </c>
      <c r="P178">
        <f>N178/N$181</f>
        <v>0</v>
      </c>
      <c r="Q178">
        <v>0</v>
      </c>
      <c r="R178">
        <v>0</v>
      </c>
      <c r="S178">
        <f>R178-R$181</f>
        <v>4.0570000000000004</v>
      </c>
      <c r="T178">
        <f>R178/R$181</f>
        <v>0</v>
      </c>
      <c r="U178">
        <v>0</v>
      </c>
      <c r="V178">
        <v>0</v>
      </c>
      <c r="W178">
        <f>V178-V$181</f>
        <v>4.0979999999999999</v>
      </c>
      <c r="X178">
        <f>V178/V$181</f>
        <v>0</v>
      </c>
    </row>
    <row r="179" spans="1:24" x14ac:dyDescent="0.2">
      <c r="A179">
        <v>1</v>
      </c>
      <c r="B179">
        <v>-0.62790000000000001</v>
      </c>
      <c r="C179">
        <f t="shared" ref="C179:C181" si="104">B179-B$181</f>
        <v>3.3381000000000003</v>
      </c>
      <c r="D179">
        <f t="shared" ref="D179:D181" si="105">B179/B$181</f>
        <v>0.15832072617246595</v>
      </c>
      <c r="E179">
        <v>1</v>
      </c>
      <c r="F179">
        <v>-1.36</v>
      </c>
      <c r="G179">
        <f t="shared" ref="G179:G180" si="106">F179-F$181</f>
        <v>2.7199999999999998</v>
      </c>
      <c r="H179">
        <f t="shared" ref="H179:H181" si="107">F179/F$181</f>
        <v>0.33333333333333337</v>
      </c>
      <c r="I179">
        <v>1</v>
      </c>
      <c r="J179">
        <v>-0.77910000000000001</v>
      </c>
      <c r="K179">
        <f t="shared" ref="K179:K181" si="108">J179-J$181</f>
        <v>3.1189</v>
      </c>
      <c r="L179">
        <f t="shared" ref="L179:L181" si="109">J179/J$181</f>
        <v>0.19987172909184198</v>
      </c>
      <c r="M179">
        <v>1</v>
      </c>
      <c r="N179">
        <v>-0.47349999999999998</v>
      </c>
      <c r="O179">
        <f t="shared" ref="O179:O181" si="110">N179-N$181</f>
        <v>2.5674999999999999</v>
      </c>
      <c r="P179">
        <f t="shared" ref="P179:P181" si="111">N179/N$181</f>
        <v>0.15570536007892141</v>
      </c>
      <c r="Q179">
        <v>1</v>
      </c>
      <c r="R179">
        <v>-1.1459999999999999</v>
      </c>
      <c r="S179">
        <f t="shared" ref="S179:S181" si="112">R179-R$181</f>
        <v>2.9110000000000005</v>
      </c>
      <c r="T179">
        <f t="shared" ref="T179:T181" si="113">R179/R$181</f>
        <v>0.28247473502588116</v>
      </c>
      <c r="U179">
        <v>1</v>
      </c>
      <c r="V179">
        <v>-0.64100000000000001</v>
      </c>
      <c r="W179">
        <f t="shared" ref="W179:W181" si="114">V179-V$181</f>
        <v>3.4569999999999999</v>
      </c>
      <c r="X179">
        <f t="shared" ref="X179:X181" si="115">V179/V$181</f>
        <v>0.15641776476329919</v>
      </c>
    </row>
    <row r="180" spans="1:24" x14ac:dyDescent="0.2">
      <c r="A180">
        <v>2</v>
      </c>
      <c r="B180">
        <v>-1.9610000000000001</v>
      </c>
      <c r="C180">
        <f t="shared" si="104"/>
        <v>2.0049999999999999</v>
      </c>
      <c r="D180">
        <f t="shared" si="105"/>
        <v>0.49445284921835603</v>
      </c>
      <c r="E180">
        <v>2</v>
      </c>
      <c r="F180">
        <v>-2.6139999999999999</v>
      </c>
      <c r="G180">
        <f t="shared" si="106"/>
        <v>1.4660000000000002</v>
      </c>
      <c r="H180">
        <f t="shared" si="107"/>
        <v>0.64068627450980387</v>
      </c>
      <c r="I180">
        <v>2</v>
      </c>
      <c r="J180">
        <v>-2.5329999999999999</v>
      </c>
      <c r="K180">
        <f t="shared" si="108"/>
        <v>1.3650000000000002</v>
      </c>
      <c r="L180">
        <f t="shared" si="109"/>
        <v>0.64982042072857871</v>
      </c>
      <c r="M180">
        <v>2</v>
      </c>
      <c r="N180">
        <v>-1.9670000000000001</v>
      </c>
      <c r="O180">
        <f t="shared" si="110"/>
        <v>1.0739999999999998</v>
      </c>
      <c r="P180">
        <f t="shared" si="111"/>
        <v>0.64682670174284784</v>
      </c>
      <c r="Q180">
        <v>2</v>
      </c>
      <c r="R180">
        <v>-2.7040000000000002</v>
      </c>
      <c r="S180">
        <f t="shared" si="112"/>
        <v>1.3530000000000002</v>
      </c>
      <c r="T180">
        <f t="shared" si="113"/>
        <v>0.6665023416317476</v>
      </c>
      <c r="U180">
        <v>2</v>
      </c>
      <c r="V180">
        <v>-2.61</v>
      </c>
      <c r="W180">
        <f t="shared" si="114"/>
        <v>1.488</v>
      </c>
      <c r="X180">
        <f t="shared" si="115"/>
        <v>0.63689604685212298</v>
      </c>
    </row>
    <row r="181" spans="1:24" x14ac:dyDescent="0.2">
      <c r="A181">
        <v>3</v>
      </c>
      <c r="B181">
        <v>-3.9660000000000002</v>
      </c>
      <c r="C181">
        <f t="shared" si="104"/>
        <v>0</v>
      </c>
      <c r="D181">
        <f t="shared" si="105"/>
        <v>1</v>
      </c>
      <c r="E181">
        <v>3</v>
      </c>
      <c r="F181">
        <v>-4.08</v>
      </c>
      <c r="G181">
        <f>F181-F$181</f>
        <v>0</v>
      </c>
      <c r="H181">
        <f t="shared" si="107"/>
        <v>1</v>
      </c>
      <c r="I181">
        <v>3</v>
      </c>
      <c r="J181">
        <v>-3.8980000000000001</v>
      </c>
      <c r="K181">
        <f t="shared" si="108"/>
        <v>0</v>
      </c>
      <c r="L181">
        <f t="shared" si="109"/>
        <v>1</v>
      </c>
      <c r="M181">
        <v>3</v>
      </c>
      <c r="N181">
        <v>-3.0409999999999999</v>
      </c>
      <c r="O181">
        <f t="shared" si="110"/>
        <v>0</v>
      </c>
      <c r="P181">
        <f t="shared" si="111"/>
        <v>1</v>
      </c>
      <c r="Q181">
        <v>3</v>
      </c>
      <c r="R181">
        <v>-4.0570000000000004</v>
      </c>
      <c r="S181">
        <f t="shared" si="112"/>
        <v>0</v>
      </c>
      <c r="T181">
        <f t="shared" si="113"/>
        <v>1</v>
      </c>
      <c r="U181">
        <v>3</v>
      </c>
      <c r="V181">
        <v>-4.0979999999999999</v>
      </c>
      <c r="W181">
        <f t="shared" si="114"/>
        <v>0</v>
      </c>
      <c r="X181">
        <f t="shared" si="115"/>
        <v>1</v>
      </c>
    </row>
    <row r="184" spans="1:24" x14ac:dyDescent="0.2">
      <c r="A184" t="s">
        <v>55</v>
      </c>
      <c r="D184" t="s">
        <v>57</v>
      </c>
      <c r="H184">
        <v>9002</v>
      </c>
      <c r="L184" t="s">
        <v>56</v>
      </c>
    </row>
    <row r="185" spans="1:24" x14ac:dyDescent="0.2">
      <c r="A185" t="s">
        <v>33</v>
      </c>
      <c r="B185" t="s">
        <v>34</v>
      </c>
      <c r="C185" t="s">
        <v>35</v>
      </c>
      <c r="D185" t="s">
        <v>36</v>
      </c>
      <c r="E185" t="s">
        <v>33</v>
      </c>
      <c r="F185" t="s">
        <v>34</v>
      </c>
      <c r="G185" t="s">
        <v>35</v>
      </c>
      <c r="H185" t="s">
        <v>36</v>
      </c>
      <c r="I185" t="s">
        <v>33</v>
      </c>
      <c r="J185" t="s">
        <v>34</v>
      </c>
      <c r="K185" t="s">
        <v>35</v>
      </c>
      <c r="L185" t="s">
        <v>36</v>
      </c>
    </row>
    <row r="186" spans="1:24" x14ac:dyDescent="0.2">
      <c r="A186">
        <v>0</v>
      </c>
      <c r="B186">
        <v>0</v>
      </c>
      <c r="C186">
        <f>B186-B$189</f>
        <v>4.0350000000000001</v>
      </c>
      <c r="D186">
        <f>B186/B$189</f>
        <v>0</v>
      </c>
      <c r="E186">
        <v>0</v>
      </c>
      <c r="F186">
        <v>0</v>
      </c>
      <c r="G186">
        <f>F186-F$189</f>
        <v>4.2460000000000004</v>
      </c>
      <c r="H186">
        <f>F186/F$189</f>
        <v>0</v>
      </c>
      <c r="I186">
        <v>0</v>
      </c>
      <c r="J186">
        <v>0</v>
      </c>
      <c r="K186">
        <f>J186-J$189</f>
        <v>4.1580000000000004</v>
      </c>
      <c r="L186">
        <f>J186/J$189</f>
        <v>0</v>
      </c>
    </row>
    <row r="187" spans="1:24" x14ac:dyDescent="0.2">
      <c r="A187">
        <v>1</v>
      </c>
      <c r="B187">
        <v>-1.107</v>
      </c>
      <c r="C187">
        <f t="shared" ref="C187:C189" si="116">B187-B$189</f>
        <v>2.9279999999999999</v>
      </c>
      <c r="D187">
        <f t="shared" ref="D187:D189" si="117">B187/B$189</f>
        <v>0.27434944237918213</v>
      </c>
      <c r="E187">
        <v>1</v>
      </c>
      <c r="F187">
        <v>-1.0669999999999999</v>
      </c>
      <c r="G187">
        <f t="shared" ref="G187:G189" si="118">F187-F$189</f>
        <v>3.1790000000000003</v>
      </c>
      <c r="H187">
        <f t="shared" ref="H187:H189" si="119">F187/F$189</f>
        <v>0.25129533678756472</v>
      </c>
      <c r="I187">
        <v>1</v>
      </c>
      <c r="J187">
        <v>-0.93540000000000001</v>
      </c>
      <c r="K187">
        <f t="shared" ref="K187:K189" si="120">J187-J$189</f>
        <v>3.2226000000000004</v>
      </c>
      <c r="L187">
        <f t="shared" ref="L187:L189" si="121">J187/J$189</f>
        <v>0.22496392496392495</v>
      </c>
    </row>
    <row r="188" spans="1:24" x14ac:dyDescent="0.2">
      <c r="A188">
        <v>2</v>
      </c>
      <c r="B188">
        <v>-2.4209999999999998</v>
      </c>
      <c r="C188">
        <f t="shared" si="116"/>
        <v>1.6140000000000003</v>
      </c>
      <c r="D188">
        <f t="shared" si="117"/>
        <v>0.6</v>
      </c>
      <c r="E188">
        <v>2</v>
      </c>
      <c r="F188">
        <v>-2.552</v>
      </c>
      <c r="G188">
        <f t="shared" si="118"/>
        <v>1.6940000000000004</v>
      </c>
      <c r="H188">
        <f t="shared" si="119"/>
        <v>0.60103626943005173</v>
      </c>
      <c r="I188">
        <v>2</v>
      </c>
      <c r="J188">
        <v>-2.468</v>
      </c>
      <c r="K188">
        <f t="shared" si="120"/>
        <v>1.6900000000000004</v>
      </c>
      <c r="L188">
        <f t="shared" si="121"/>
        <v>0.5935545935545935</v>
      </c>
    </row>
    <row r="189" spans="1:24" x14ac:dyDescent="0.2">
      <c r="A189">
        <v>3</v>
      </c>
      <c r="B189">
        <v>-4.0350000000000001</v>
      </c>
      <c r="C189">
        <f t="shared" si="116"/>
        <v>0</v>
      </c>
      <c r="D189">
        <f t="shared" si="117"/>
        <v>1</v>
      </c>
      <c r="E189">
        <v>3</v>
      </c>
      <c r="F189">
        <v>-4.2460000000000004</v>
      </c>
      <c r="G189">
        <f t="shared" si="118"/>
        <v>0</v>
      </c>
      <c r="H189">
        <f t="shared" si="119"/>
        <v>1</v>
      </c>
      <c r="I189">
        <v>3</v>
      </c>
      <c r="J189">
        <v>-4.1580000000000004</v>
      </c>
      <c r="K189">
        <f t="shared" si="120"/>
        <v>0</v>
      </c>
      <c r="L189">
        <f t="shared" si="121"/>
        <v>1</v>
      </c>
    </row>
    <row r="192" spans="1:24" x14ac:dyDescent="0.2">
      <c r="A192" t="s">
        <v>39</v>
      </c>
      <c r="D192">
        <v>3003</v>
      </c>
      <c r="H192">
        <v>4000</v>
      </c>
      <c r="L192">
        <v>4001</v>
      </c>
    </row>
    <row r="193" spans="1:12" x14ac:dyDescent="0.2">
      <c r="A193" t="s">
        <v>33</v>
      </c>
      <c r="B193" t="s">
        <v>34</v>
      </c>
      <c r="C193" t="s">
        <v>35</v>
      </c>
      <c r="D193" t="s">
        <v>36</v>
      </c>
      <c r="E193" t="s">
        <v>33</v>
      </c>
      <c r="F193" t="s">
        <v>34</v>
      </c>
      <c r="G193" t="s">
        <v>35</v>
      </c>
      <c r="H193" t="s">
        <v>36</v>
      </c>
      <c r="I193" t="s">
        <v>33</v>
      </c>
      <c r="J193" t="s">
        <v>34</v>
      </c>
      <c r="K193" t="s">
        <v>35</v>
      </c>
      <c r="L193" t="s">
        <v>36</v>
      </c>
    </row>
    <row r="194" spans="1:12" x14ac:dyDescent="0.2">
      <c r="A194">
        <v>0</v>
      </c>
      <c r="B194">
        <v>0</v>
      </c>
      <c r="C194">
        <f>B194-B$197</f>
        <v>4.0910000000000002</v>
      </c>
      <c r="D194">
        <f>B194/B$197</f>
        <v>0</v>
      </c>
      <c r="E194">
        <v>0</v>
      </c>
      <c r="F194">
        <v>0</v>
      </c>
      <c r="G194">
        <f>F194-F$197</f>
        <v>4.3949999999999996</v>
      </c>
      <c r="H194">
        <f>F194/F$197</f>
        <v>0</v>
      </c>
      <c r="I194">
        <v>0</v>
      </c>
      <c r="J194">
        <v>0</v>
      </c>
      <c r="K194">
        <f>J194-J$197</f>
        <v>4.2549999999999999</v>
      </c>
      <c r="L194">
        <f>J194/J$197</f>
        <v>0</v>
      </c>
    </row>
    <row r="195" spans="1:12" x14ac:dyDescent="0.2">
      <c r="A195">
        <v>1</v>
      </c>
      <c r="B195">
        <v>-0.38800000000000001</v>
      </c>
      <c r="C195">
        <f t="shared" ref="C195:C197" si="122">B195-B$197</f>
        <v>3.7030000000000003</v>
      </c>
      <c r="D195">
        <f t="shared" ref="D195:D197" si="123">B195/B$197</f>
        <v>9.4842336836959182E-2</v>
      </c>
      <c r="E195">
        <v>1</v>
      </c>
      <c r="F195">
        <v>-1.099</v>
      </c>
      <c r="G195">
        <f t="shared" ref="G195:G197" si="124">F195-F$197</f>
        <v>3.2959999999999994</v>
      </c>
      <c r="H195">
        <f t="shared" ref="H195:H197" si="125">F195/F$197</f>
        <v>0.25005688282138794</v>
      </c>
      <c r="I195">
        <v>1</v>
      </c>
      <c r="J195">
        <v>-0.58250000000000002</v>
      </c>
      <c r="K195">
        <f t="shared" ref="K195:K197" si="126">J195-J$197</f>
        <v>3.6724999999999999</v>
      </c>
      <c r="L195">
        <f t="shared" ref="L195:L197" si="127">J195/J$197</f>
        <v>0.13689776733254994</v>
      </c>
    </row>
    <row r="196" spans="1:12" x14ac:dyDescent="0.2">
      <c r="A196">
        <v>2</v>
      </c>
      <c r="B196">
        <v>-1.284</v>
      </c>
      <c r="C196">
        <f t="shared" si="122"/>
        <v>2.8070000000000004</v>
      </c>
      <c r="D196">
        <f t="shared" si="123"/>
        <v>0.31385969200684427</v>
      </c>
      <c r="E196">
        <v>2</v>
      </c>
      <c r="F196">
        <v>-2.198</v>
      </c>
      <c r="G196">
        <f t="shared" si="124"/>
        <v>2.1969999999999996</v>
      </c>
      <c r="H196">
        <f t="shared" si="125"/>
        <v>0.50011376564277588</v>
      </c>
      <c r="I196">
        <v>2</v>
      </c>
      <c r="J196">
        <v>-1.7729999999999999</v>
      </c>
      <c r="K196">
        <f t="shared" si="126"/>
        <v>2.4820000000000002</v>
      </c>
      <c r="L196">
        <f t="shared" si="127"/>
        <v>0.41668625146886018</v>
      </c>
    </row>
    <row r="197" spans="1:12" x14ac:dyDescent="0.2">
      <c r="A197">
        <v>3</v>
      </c>
      <c r="B197">
        <v>-4.0910000000000002</v>
      </c>
      <c r="C197">
        <f t="shared" si="122"/>
        <v>0</v>
      </c>
      <c r="D197">
        <f t="shared" si="123"/>
        <v>1</v>
      </c>
      <c r="E197">
        <v>3</v>
      </c>
      <c r="F197">
        <v>-4.3949999999999996</v>
      </c>
      <c r="G197">
        <f t="shared" si="124"/>
        <v>0</v>
      </c>
      <c r="H197">
        <f t="shared" si="125"/>
        <v>1</v>
      </c>
      <c r="I197">
        <v>3</v>
      </c>
      <c r="J197">
        <v>-4.2549999999999999</v>
      </c>
      <c r="K197">
        <f t="shared" si="126"/>
        <v>0</v>
      </c>
      <c r="L197">
        <f t="shared" si="127"/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PeptideDatabase-other_mv_guesth</vt:lpstr>
      <vt:lpstr>open_pore_currents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Bryan Krantz</dc:creator>
  <cp:lastModifiedBy>Bryan Krantz</cp:lastModifiedBy>
  <dcterms:created xsi:type="dcterms:W3CDTF">2025-06-25T20:11:04Z</dcterms:created>
  <dcterms:modified xsi:type="dcterms:W3CDTF">2026-07-25T18:11:48Z</dcterms:modified>
</cp:coreProperties>
</file>