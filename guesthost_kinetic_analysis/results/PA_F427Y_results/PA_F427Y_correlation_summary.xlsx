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guesthost_kinetic_analysis/results/"/>
    </mc:Choice>
  </mc:AlternateContent>
  <xr:revisionPtr revIDLastSave="0" documentId="8_{DE3AE8F3-6885-024A-8377-07BEA8D20F90}" xr6:coauthVersionLast="47" xr6:coauthVersionMax="47" xr10:uidLastSave="{00000000-0000-0000-0000-000000000000}"/>
  <bookViews>
    <workbookView xWindow="1100" yWindow="820" windowWidth="28040" windowHeight="17440" xr2:uid="{CD7B13C9-3D6D-DD42-9DD1-310C93DB9F94}"/>
  </bookViews>
  <sheets>
    <sheet name="PA_F427Y_correlation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E67" i="1"/>
  <c r="F67" i="1"/>
  <c r="G67" i="1"/>
  <c r="H67" i="1"/>
  <c r="I67" i="1"/>
  <c r="J67" i="1"/>
  <c r="K67" i="1"/>
  <c r="L67" i="1"/>
  <c r="M67" i="1"/>
  <c r="N67" i="1"/>
  <c r="O67" i="1"/>
  <c r="P67" i="1"/>
  <c r="C67" i="1"/>
  <c r="C66" i="1"/>
  <c r="P66" i="1"/>
  <c r="D66" i="1"/>
  <c r="E66" i="1"/>
  <c r="F66" i="1"/>
  <c r="G66" i="1"/>
  <c r="H66" i="1"/>
  <c r="I66" i="1"/>
  <c r="J66" i="1"/>
  <c r="K66" i="1"/>
  <c r="L66" i="1"/>
  <c r="M66" i="1"/>
  <c r="N66" i="1"/>
  <c r="O66" i="1"/>
</calcChain>
</file>

<file path=xl/sharedStrings.xml><?xml version="1.0" encoding="utf-8"?>
<sst xmlns="http://schemas.openxmlformats.org/spreadsheetml/2006/main" count="158" uniqueCount="34">
  <si>
    <t>transition</t>
  </si>
  <si>
    <t>kinetic_param</t>
  </si>
  <si>
    <t>Cornette</t>
  </si>
  <si>
    <t>Eisenberg</t>
  </si>
  <si>
    <t>Engelman_GES</t>
  </si>
  <si>
    <t>Hopp-Woods</t>
  </si>
  <si>
    <t>Janin</t>
  </si>
  <si>
    <t>Krantz</t>
  </si>
  <si>
    <t>Kyte-Doolittle</t>
  </si>
  <si>
    <t>Ooi</t>
  </si>
  <si>
    <t>Rose</t>
  </si>
  <si>
    <t>Song</t>
  </si>
  <si>
    <t>Tanford</t>
  </si>
  <si>
    <t>aromaticity</t>
  </si>
  <si>
    <t>mol_wt</t>
  </si>
  <si>
    <t>num_rings</t>
  </si>
  <si>
    <t>0-&gt;1</t>
  </si>
  <si>
    <t>A_fast</t>
  </si>
  <si>
    <t>A_middle</t>
  </si>
  <si>
    <t>A_slow</t>
  </si>
  <si>
    <t>log_tau_fast</t>
  </si>
  <si>
    <t>log_tau_mean</t>
  </si>
  <si>
    <t>log_tau_middle</t>
  </si>
  <si>
    <t>log_tau_slow</t>
  </si>
  <si>
    <t>0-&gt;2</t>
  </si>
  <si>
    <t>0-&gt;3</t>
  </si>
  <si>
    <t>1-&gt;0</t>
  </si>
  <si>
    <t>1-&gt;2</t>
  </si>
  <si>
    <t>1-&gt;3</t>
  </si>
  <si>
    <t>2-&gt;0</t>
  </si>
  <si>
    <t>2-&gt;1</t>
  </si>
  <si>
    <t>2-&gt;3</t>
  </si>
  <si>
    <t>AVERAGE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</si>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</sst>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5D72-0246-FD4A-BD56-9D7659D6D030}">
  <dimension ref="A1:P67"/>
  <sheetViews>
    <sheetView tabSelected="1" topLeftCell="A32" workbookViewId="0">
      <selection activeCell="J68" sqref="J68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0.54690000000000005</v>
      </c>
      <c r="D2">
        <v>0.55510000000000004</v>
      </c>
      <c r="E2">
        <v>4.07E-2</v>
      </c>
      <c r="F2">
        <v>0.58240000000000003</v>
      </c>
      <c r="G2">
        <v>0.1976</v>
      </c>
      <c r="H2">
        <v>0.43009999999999998</v>
      </c>
      <c r="I2">
        <v>4.4699999999999997E-2</v>
      </c>
      <c r="J2">
        <v>0.16270000000000001</v>
      </c>
      <c r="K2">
        <v>0.62670000000000003</v>
      </c>
      <c r="L2">
        <v>0.58189999999999997</v>
      </c>
      <c r="M2">
        <v>0.58240000000000003</v>
      </c>
      <c r="N2">
        <v>0.38490000000000002</v>
      </c>
      <c r="O2">
        <v>0.33629999999999999</v>
      </c>
      <c r="P2">
        <v>0.30570000000000003</v>
      </c>
    </row>
    <row r="3" spans="1:16" x14ac:dyDescent="0.2">
      <c r="A3" t="s">
        <v>16</v>
      </c>
      <c r="B3" t="s">
        <v>18</v>
      </c>
      <c r="C3">
        <v>0.40949999999999998</v>
      </c>
      <c r="D3">
        <v>0.42159999999999997</v>
      </c>
      <c r="E3">
        <v>0.3417</v>
      </c>
      <c r="F3">
        <v>0.2853</v>
      </c>
      <c r="G3">
        <v>0.16980000000000001</v>
      </c>
      <c r="H3">
        <v>0.2697</v>
      </c>
      <c r="I3">
        <v>0.1215</v>
      </c>
      <c r="J3">
        <v>0.13700000000000001</v>
      </c>
      <c r="K3">
        <v>0.56879999999999997</v>
      </c>
      <c r="L3">
        <v>0.23810000000000001</v>
      </c>
      <c r="M3">
        <v>0.2853</v>
      </c>
      <c r="N3">
        <v>0.3387</v>
      </c>
      <c r="O3">
        <v>0.2089</v>
      </c>
      <c r="P3">
        <v>0.1187</v>
      </c>
    </row>
    <row r="4" spans="1:16" x14ac:dyDescent="0.2">
      <c r="A4" t="s">
        <v>16</v>
      </c>
      <c r="B4" t="s">
        <v>19</v>
      </c>
      <c r="C4">
        <v>0</v>
      </c>
      <c r="D4">
        <v>9.1999999999999998E-3</v>
      </c>
      <c r="E4">
        <v>2.3099999999999999E-2</v>
      </c>
      <c r="F4">
        <v>0.45910000000000001</v>
      </c>
      <c r="G4">
        <v>9.8000000000000004E-2</v>
      </c>
      <c r="H4">
        <v>0</v>
      </c>
      <c r="I4">
        <v>0.35909999999999997</v>
      </c>
      <c r="J4">
        <v>0.1472</v>
      </c>
      <c r="K4">
        <v>9.6000000000000002E-2</v>
      </c>
      <c r="L4">
        <v>0.51160000000000005</v>
      </c>
      <c r="M4">
        <v>0.45910000000000001</v>
      </c>
      <c r="N4">
        <v>0.56630000000000003</v>
      </c>
      <c r="O4">
        <v>0.72519999999999996</v>
      </c>
      <c r="P4">
        <v>0.50039999999999996</v>
      </c>
    </row>
    <row r="5" spans="1:16" x14ac:dyDescent="0.2">
      <c r="A5" t="s">
        <v>16</v>
      </c>
      <c r="B5" t="s">
        <v>20</v>
      </c>
      <c r="C5">
        <v>0.29149999999999998</v>
      </c>
      <c r="D5">
        <v>8.5199999999999998E-2</v>
      </c>
      <c r="E5">
        <v>1.5800000000000002E-2</v>
      </c>
      <c r="F5">
        <v>8.8999999999999999E-3</v>
      </c>
      <c r="G5">
        <v>0.03</v>
      </c>
      <c r="H5">
        <v>2.0799999999999999E-2</v>
      </c>
      <c r="I5">
        <v>0.19750000000000001</v>
      </c>
      <c r="J5">
        <v>9.7000000000000003E-2</v>
      </c>
      <c r="K5">
        <v>4.4000000000000003E-3</v>
      </c>
      <c r="L5">
        <v>1.6999999999999999E-3</v>
      </c>
      <c r="M5">
        <v>8.8999999999999999E-3</v>
      </c>
      <c r="N5">
        <v>4.3900000000000002E-2</v>
      </c>
      <c r="O5">
        <v>7.3200000000000001E-2</v>
      </c>
      <c r="P5">
        <v>8.2900000000000001E-2</v>
      </c>
    </row>
    <row r="6" spans="1:16" x14ac:dyDescent="0.2">
      <c r="A6" t="s">
        <v>16</v>
      </c>
      <c r="B6" t="s">
        <v>21</v>
      </c>
      <c r="C6">
        <v>5.0000000000000001E-4</v>
      </c>
      <c r="D6">
        <v>2.1600000000000001E-2</v>
      </c>
      <c r="E6">
        <v>0.1138</v>
      </c>
      <c r="F6">
        <v>0.50960000000000005</v>
      </c>
      <c r="G6">
        <v>0.16850000000000001</v>
      </c>
      <c r="H6">
        <v>7.3000000000000001E-3</v>
      </c>
      <c r="I6">
        <v>0.50839999999999996</v>
      </c>
      <c r="J6">
        <v>0.26750000000000002</v>
      </c>
      <c r="K6">
        <v>5.9799999999999999E-2</v>
      </c>
      <c r="L6">
        <v>0.58850000000000002</v>
      </c>
      <c r="M6">
        <v>0.50960000000000005</v>
      </c>
      <c r="N6">
        <v>0.71530000000000005</v>
      </c>
      <c r="O6">
        <v>0.79359999999999997</v>
      </c>
      <c r="P6">
        <v>0.61160000000000003</v>
      </c>
    </row>
    <row r="7" spans="1:16" x14ac:dyDescent="0.2">
      <c r="A7" t="s">
        <v>16</v>
      </c>
      <c r="B7" t="s">
        <v>22</v>
      </c>
      <c r="C7">
        <v>0.16889999999999999</v>
      </c>
      <c r="D7">
        <v>8.0999999999999996E-3</v>
      </c>
      <c r="E7">
        <v>0.2999</v>
      </c>
      <c r="F7">
        <v>9.4100000000000003E-2</v>
      </c>
      <c r="G7">
        <v>0.11890000000000001</v>
      </c>
      <c r="H7">
        <v>6.1999999999999998E-3</v>
      </c>
      <c r="I7">
        <v>4.4699999999999997E-2</v>
      </c>
      <c r="J7">
        <v>2.7E-2</v>
      </c>
      <c r="K7">
        <v>2.5000000000000001E-3</v>
      </c>
      <c r="L7">
        <v>0.2</v>
      </c>
      <c r="M7">
        <v>9.4100000000000003E-2</v>
      </c>
      <c r="N7">
        <v>3.4000000000000002E-2</v>
      </c>
      <c r="O7">
        <v>0.11260000000000001</v>
      </c>
      <c r="P7">
        <v>2.1399999999999999E-2</v>
      </c>
    </row>
    <row r="8" spans="1:16" x14ac:dyDescent="0.2">
      <c r="A8" t="s">
        <v>16</v>
      </c>
      <c r="B8" t="s">
        <v>23</v>
      </c>
      <c r="C8">
        <v>0.1057</v>
      </c>
      <c r="D8">
        <v>8.0299999999999996E-2</v>
      </c>
      <c r="E8">
        <v>0.1275</v>
      </c>
      <c r="F8">
        <v>0.35239999999999999</v>
      </c>
      <c r="G8">
        <v>0.1772</v>
      </c>
      <c r="H8">
        <v>2.35E-2</v>
      </c>
      <c r="I8">
        <v>0.68500000000000005</v>
      </c>
      <c r="J8">
        <v>0.3362</v>
      </c>
      <c r="K8">
        <v>7.3000000000000001E-3</v>
      </c>
      <c r="L8">
        <v>0.38540000000000002</v>
      </c>
      <c r="M8">
        <v>0.35239999999999999</v>
      </c>
      <c r="N8">
        <v>0.50560000000000005</v>
      </c>
      <c r="O8">
        <v>0.621</v>
      </c>
      <c r="P8">
        <v>0.58169999999999999</v>
      </c>
    </row>
    <row r="9" spans="1:16" x14ac:dyDescent="0.2">
      <c r="A9" t="s">
        <v>24</v>
      </c>
      <c r="B9" t="s">
        <v>17</v>
      </c>
      <c r="C9">
        <v>0.1021</v>
      </c>
      <c r="D9">
        <v>9.1000000000000004E-3</v>
      </c>
      <c r="E9">
        <v>0</v>
      </c>
      <c r="F9">
        <v>1.17E-2</v>
      </c>
      <c r="G9">
        <v>4.7500000000000001E-2</v>
      </c>
      <c r="H9">
        <v>2.8199999999999999E-2</v>
      </c>
      <c r="I9">
        <v>2.3199999999999998E-2</v>
      </c>
      <c r="J9">
        <v>1.6999999999999999E-3</v>
      </c>
      <c r="K9">
        <v>2.9999999999999997E-4</v>
      </c>
      <c r="L9">
        <v>2E-3</v>
      </c>
      <c r="M9">
        <v>1.17E-2</v>
      </c>
      <c r="N9">
        <v>1.4E-3</v>
      </c>
      <c r="O9">
        <v>8.9999999999999998E-4</v>
      </c>
      <c r="P9">
        <v>6.5000000000000002E-2</v>
      </c>
    </row>
    <row r="10" spans="1:16" x14ac:dyDescent="0.2">
      <c r="A10" t="s">
        <v>24</v>
      </c>
      <c r="B10" t="s">
        <v>18</v>
      </c>
      <c r="C10">
        <v>3.4799999999999998E-2</v>
      </c>
      <c r="D10">
        <v>9.5799999999999996E-2</v>
      </c>
      <c r="E10">
        <v>0.13719999999999999</v>
      </c>
      <c r="F10">
        <v>0.12139999999999999</v>
      </c>
      <c r="G10">
        <v>1.9400000000000001E-2</v>
      </c>
      <c r="H10">
        <v>2.3199999999999998E-2</v>
      </c>
      <c r="I10">
        <v>1.2999999999999999E-3</v>
      </c>
      <c r="J10">
        <v>1.2999999999999999E-3</v>
      </c>
      <c r="K10">
        <v>0.16520000000000001</v>
      </c>
      <c r="L10">
        <v>8.1000000000000003E-2</v>
      </c>
      <c r="M10">
        <v>0.12139999999999999</v>
      </c>
      <c r="N10">
        <v>0.39539999999999997</v>
      </c>
      <c r="O10">
        <v>0.1381</v>
      </c>
      <c r="P10">
        <v>0.13400000000000001</v>
      </c>
    </row>
    <row r="11" spans="1:16" x14ac:dyDescent="0.2">
      <c r="A11" t="s">
        <v>24</v>
      </c>
      <c r="B11" t="s">
        <v>19</v>
      </c>
      <c r="C11">
        <v>0.13350000000000001</v>
      </c>
      <c r="D11">
        <v>2.98E-2</v>
      </c>
      <c r="E11">
        <v>1.1000000000000001E-3</v>
      </c>
      <c r="F11">
        <v>0.62409999999999999</v>
      </c>
      <c r="G11">
        <v>9.2999999999999992E-3</v>
      </c>
      <c r="H11">
        <v>7.5899999999999995E-2</v>
      </c>
      <c r="I11">
        <v>0.1134</v>
      </c>
      <c r="J11">
        <v>4.1000000000000003E-3</v>
      </c>
      <c r="K11">
        <v>0.29949999999999999</v>
      </c>
      <c r="L11">
        <v>0.71409999999999996</v>
      </c>
      <c r="M11">
        <v>0.62409999999999999</v>
      </c>
      <c r="N11">
        <v>0.46479999999999999</v>
      </c>
      <c r="O11">
        <v>0.75260000000000005</v>
      </c>
      <c r="P11">
        <v>0.43609999999999999</v>
      </c>
    </row>
    <row r="12" spans="1:16" x14ac:dyDescent="0.2">
      <c r="A12" t="s">
        <v>24</v>
      </c>
      <c r="B12" t="s">
        <v>20</v>
      </c>
      <c r="C12">
        <v>0.12609999999999999</v>
      </c>
      <c r="D12">
        <v>3.7000000000000002E-3</v>
      </c>
      <c r="E12">
        <v>1.83E-2</v>
      </c>
      <c r="F12">
        <v>7.2099999999999997E-2</v>
      </c>
      <c r="G12">
        <v>2.7699999999999999E-2</v>
      </c>
      <c r="H12">
        <v>8.0000000000000004E-4</v>
      </c>
      <c r="I12">
        <v>1E-4</v>
      </c>
      <c r="J12">
        <v>1.37E-2</v>
      </c>
      <c r="K12">
        <v>7.5499999999999998E-2</v>
      </c>
      <c r="L12">
        <v>9.0300000000000005E-2</v>
      </c>
      <c r="M12">
        <v>7.2099999999999997E-2</v>
      </c>
      <c r="N12">
        <v>0.1948</v>
      </c>
      <c r="O12">
        <v>0.14280000000000001</v>
      </c>
      <c r="P12">
        <v>2.47E-2</v>
      </c>
    </row>
    <row r="13" spans="1:16" x14ac:dyDescent="0.2">
      <c r="A13" t="s">
        <v>24</v>
      </c>
      <c r="B13" t="s">
        <v>21</v>
      </c>
      <c r="C13">
        <v>0.16969999999999999</v>
      </c>
      <c r="D13">
        <v>2.9399999999999999E-2</v>
      </c>
      <c r="E13">
        <v>3.3099999999999997E-2</v>
      </c>
      <c r="F13">
        <v>0.64419999999999999</v>
      </c>
      <c r="G13">
        <v>3.73E-2</v>
      </c>
      <c r="H13">
        <v>2.3E-2</v>
      </c>
      <c r="I13">
        <v>0.14360000000000001</v>
      </c>
      <c r="J13">
        <v>5.0200000000000002E-2</v>
      </c>
      <c r="K13">
        <v>0.2487</v>
      </c>
      <c r="L13">
        <v>0.75109999999999999</v>
      </c>
      <c r="M13">
        <v>0.64419999999999999</v>
      </c>
      <c r="N13">
        <v>0.73960000000000004</v>
      </c>
      <c r="O13">
        <v>0.7722</v>
      </c>
      <c r="P13">
        <v>0.50549999999999995</v>
      </c>
    </row>
    <row r="14" spans="1:16" x14ac:dyDescent="0.2">
      <c r="A14" t="s">
        <v>24</v>
      </c>
      <c r="B14" t="s">
        <v>22</v>
      </c>
      <c r="C14">
        <v>5.16E-2</v>
      </c>
      <c r="D14">
        <v>2.0000000000000001E-4</v>
      </c>
      <c r="E14">
        <v>1E-4</v>
      </c>
      <c r="F14">
        <v>0.2059</v>
      </c>
      <c r="G14">
        <v>7.7499999999999999E-2</v>
      </c>
      <c r="H14">
        <v>5.3E-3</v>
      </c>
      <c r="I14">
        <v>7.7499999999999999E-2</v>
      </c>
      <c r="J14">
        <v>9.2600000000000002E-2</v>
      </c>
      <c r="K14">
        <v>8.1600000000000006E-2</v>
      </c>
      <c r="L14">
        <v>0.2394</v>
      </c>
      <c r="M14">
        <v>0.2059</v>
      </c>
      <c r="N14">
        <v>0.44779999999999998</v>
      </c>
      <c r="O14">
        <v>0.36670000000000003</v>
      </c>
      <c r="P14">
        <v>0.17269999999999999</v>
      </c>
    </row>
    <row r="15" spans="1:16" x14ac:dyDescent="0.2">
      <c r="A15" t="s">
        <v>24</v>
      </c>
      <c r="B15" t="s">
        <v>23</v>
      </c>
      <c r="C15">
        <v>0.12720000000000001</v>
      </c>
      <c r="D15">
        <v>2.9700000000000001E-2</v>
      </c>
      <c r="E15">
        <v>9.4000000000000004E-3</v>
      </c>
      <c r="F15">
        <v>0.25209999999999999</v>
      </c>
      <c r="G15">
        <v>2.41E-2</v>
      </c>
      <c r="H15">
        <v>1E-4</v>
      </c>
      <c r="I15">
        <v>3.2599999999999997E-2</v>
      </c>
      <c r="J15">
        <v>5.9299999999999999E-2</v>
      </c>
      <c r="K15">
        <v>0.11310000000000001</v>
      </c>
      <c r="L15">
        <v>0.2833</v>
      </c>
      <c r="M15">
        <v>0.25209999999999999</v>
      </c>
      <c r="N15">
        <v>0.55910000000000004</v>
      </c>
      <c r="O15">
        <v>0.30620000000000003</v>
      </c>
      <c r="P15">
        <v>0.216</v>
      </c>
    </row>
    <row r="16" spans="1:16" x14ac:dyDescent="0.2">
      <c r="A16" t="s">
        <v>25</v>
      </c>
      <c r="B16" t="s">
        <v>17</v>
      </c>
      <c r="C16">
        <v>0.32979999999999998</v>
      </c>
      <c r="D16">
        <v>3.1800000000000002E-2</v>
      </c>
      <c r="E16">
        <v>6.1000000000000004E-3</v>
      </c>
      <c r="F16">
        <v>0.1152</v>
      </c>
      <c r="G16">
        <v>5.5999999999999999E-3</v>
      </c>
      <c r="H16">
        <v>1.6899999999999998E-2</v>
      </c>
      <c r="I16">
        <v>1.0800000000000001E-2</v>
      </c>
      <c r="J16">
        <v>5.7000000000000002E-3</v>
      </c>
      <c r="K16">
        <v>0.13700000000000001</v>
      </c>
      <c r="L16">
        <v>0.16420000000000001</v>
      </c>
      <c r="M16">
        <v>0.1152</v>
      </c>
      <c r="N16">
        <v>0.10390000000000001</v>
      </c>
      <c r="O16">
        <v>0.1444</v>
      </c>
      <c r="P16">
        <v>1.37E-2</v>
      </c>
    </row>
    <row r="17" spans="1:16" x14ac:dyDescent="0.2">
      <c r="A17" t="s">
        <v>25</v>
      </c>
      <c r="B17" t="s">
        <v>18</v>
      </c>
      <c r="C17">
        <v>0.2545</v>
      </c>
      <c r="D17">
        <v>1.21E-2</v>
      </c>
      <c r="E17">
        <v>3.7000000000000002E-3</v>
      </c>
      <c r="F17">
        <v>0.1109</v>
      </c>
      <c r="G17">
        <v>8.5900000000000004E-2</v>
      </c>
      <c r="H17">
        <v>0.1031</v>
      </c>
      <c r="I17">
        <v>0.13270000000000001</v>
      </c>
      <c r="J17">
        <v>2.8999999999999998E-3</v>
      </c>
      <c r="K17">
        <v>1.9E-2</v>
      </c>
      <c r="L17">
        <v>5.91E-2</v>
      </c>
      <c r="M17">
        <v>0.1109</v>
      </c>
      <c r="N17">
        <v>2.1700000000000001E-2</v>
      </c>
      <c r="O17">
        <v>7.1900000000000006E-2</v>
      </c>
      <c r="P17">
        <v>0.28660000000000002</v>
      </c>
    </row>
    <row r="18" spans="1:16" x14ac:dyDescent="0.2">
      <c r="A18" t="s">
        <v>25</v>
      </c>
      <c r="B18" t="s">
        <v>19</v>
      </c>
      <c r="C18">
        <v>0.23380000000000001</v>
      </c>
      <c r="D18">
        <v>0.46510000000000001</v>
      </c>
      <c r="E18">
        <v>0.1158</v>
      </c>
      <c r="F18">
        <v>0.95340000000000003</v>
      </c>
      <c r="G18">
        <v>0.2016</v>
      </c>
      <c r="H18">
        <v>0.54749999999999999</v>
      </c>
      <c r="I18">
        <v>3.0000000000000001E-3</v>
      </c>
      <c r="J18">
        <v>0.1123</v>
      </c>
      <c r="K18">
        <v>0.81630000000000003</v>
      </c>
      <c r="L18">
        <v>0.88529999999999998</v>
      </c>
      <c r="M18">
        <v>0.95340000000000003</v>
      </c>
      <c r="N18">
        <v>0.62260000000000004</v>
      </c>
      <c r="O18">
        <v>0.75649999999999995</v>
      </c>
      <c r="P18">
        <v>0.7127</v>
      </c>
    </row>
    <row r="19" spans="1:16" x14ac:dyDescent="0.2">
      <c r="A19" t="s">
        <v>25</v>
      </c>
      <c r="B19" t="s">
        <v>20</v>
      </c>
      <c r="C19">
        <v>0.36070000000000002</v>
      </c>
      <c r="D19">
        <v>0.34849999999999998</v>
      </c>
      <c r="E19">
        <v>2.1700000000000001E-2</v>
      </c>
      <c r="F19">
        <v>0.60980000000000001</v>
      </c>
      <c r="G19">
        <v>0.1045</v>
      </c>
      <c r="H19">
        <v>0.33950000000000002</v>
      </c>
      <c r="I19">
        <v>2.0999999999999999E-3</v>
      </c>
      <c r="J19">
        <v>8.9700000000000002E-2</v>
      </c>
      <c r="K19">
        <v>0.53190000000000004</v>
      </c>
      <c r="L19">
        <v>0.626</v>
      </c>
      <c r="M19">
        <v>0.60980000000000001</v>
      </c>
      <c r="N19">
        <v>0.37259999999999999</v>
      </c>
      <c r="O19">
        <v>0.43959999999999999</v>
      </c>
      <c r="P19">
        <v>0.35909999999999997</v>
      </c>
    </row>
    <row r="20" spans="1:16" x14ac:dyDescent="0.2">
      <c r="A20" t="s">
        <v>25</v>
      </c>
      <c r="B20" t="s">
        <v>21</v>
      </c>
      <c r="C20">
        <v>1.67E-2</v>
      </c>
      <c r="D20">
        <v>3.8199999999999998E-2</v>
      </c>
      <c r="E20">
        <v>0.29720000000000002</v>
      </c>
      <c r="F20">
        <v>0.42530000000000001</v>
      </c>
      <c r="G20">
        <v>0.28420000000000001</v>
      </c>
      <c r="H20">
        <v>3.6600000000000001E-2</v>
      </c>
      <c r="I20">
        <v>0.45729999999999998</v>
      </c>
      <c r="J20">
        <v>0.32369999999999999</v>
      </c>
      <c r="K20">
        <v>2.4299999999999999E-2</v>
      </c>
      <c r="L20">
        <v>0.56789999999999996</v>
      </c>
      <c r="M20">
        <v>0.42530000000000001</v>
      </c>
      <c r="N20">
        <v>0.63070000000000004</v>
      </c>
      <c r="O20">
        <v>0.67149999999999999</v>
      </c>
      <c r="P20">
        <v>0.44569999999999999</v>
      </c>
    </row>
    <row r="21" spans="1:16" x14ac:dyDescent="0.2">
      <c r="A21" t="s">
        <v>25</v>
      </c>
      <c r="B21" t="s">
        <v>22</v>
      </c>
      <c r="C21">
        <v>1.9599999999999999E-2</v>
      </c>
      <c r="D21">
        <v>0.11509999999999999</v>
      </c>
      <c r="E21">
        <v>2.2700000000000001E-2</v>
      </c>
      <c r="F21">
        <v>0.37259999999999999</v>
      </c>
      <c r="G21">
        <v>4.0399999999999998E-2</v>
      </c>
      <c r="H21">
        <v>0.13700000000000001</v>
      </c>
      <c r="I21">
        <v>5.1900000000000002E-2</v>
      </c>
      <c r="J21">
        <v>3.5000000000000001E-3</v>
      </c>
      <c r="K21">
        <v>0.14749999999999999</v>
      </c>
      <c r="L21">
        <v>0.36620000000000003</v>
      </c>
      <c r="M21">
        <v>0.37259999999999999</v>
      </c>
      <c r="N21">
        <v>0.23380000000000001</v>
      </c>
      <c r="O21">
        <v>0.2492</v>
      </c>
      <c r="P21">
        <v>0.38629999999999998</v>
      </c>
    </row>
    <row r="22" spans="1:16" x14ac:dyDescent="0.2">
      <c r="A22" t="s">
        <v>25</v>
      </c>
      <c r="B22" t="s">
        <v>23</v>
      </c>
      <c r="C22">
        <v>0</v>
      </c>
      <c r="D22">
        <v>0.42399999999999999</v>
      </c>
      <c r="E22">
        <v>0.68559999999999999</v>
      </c>
      <c r="F22">
        <v>1.29E-2</v>
      </c>
      <c r="G22">
        <v>0.81059999999999999</v>
      </c>
      <c r="H22">
        <v>0.59719999999999995</v>
      </c>
      <c r="I22">
        <v>0.24129999999999999</v>
      </c>
      <c r="J22">
        <v>0.61850000000000005</v>
      </c>
      <c r="K22">
        <v>0.24590000000000001</v>
      </c>
      <c r="L22">
        <v>1.8E-3</v>
      </c>
      <c r="M22">
        <v>1.29E-2</v>
      </c>
      <c r="N22">
        <v>4.2000000000000003E-2</v>
      </c>
      <c r="O22">
        <v>1.4E-2</v>
      </c>
      <c r="P22">
        <v>6.4000000000000003E-3</v>
      </c>
    </row>
    <row r="23" spans="1:16" x14ac:dyDescent="0.2">
      <c r="A23" t="s">
        <v>26</v>
      </c>
      <c r="B23" t="s">
        <v>17</v>
      </c>
      <c r="C23">
        <v>2.5100000000000001E-2</v>
      </c>
      <c r="D23">
        <v>1.95E-2</v>
      </c>
      <c r="E23">
        <v>1.6999999999999999E-3</v>
      </c>
      <c r="F23">
        <v>0.23619999999999999</v>
      </c>
      <c r="G23">
        <v>2.0899999999999998E-2</v>
      </c>
      <c r="H23">
        <v>8.4500000000000006E-2</v>
      </c>
      <c r="I23">
        <v>0.1076</v>
      </c>
      <c r="J23">
        <v>1E-4</v>
      </c>
      <c r="K23">
        <v>8.4199999999999997E-2</v>
      </c>
      <c r="L23">
        <v>0.2021</v>
      </c>
      <c r="M23">
        <v>0.23619999999999999</v>
      </c>
      <c r="N23">
        <v>0.125</v>
      </c>
      <c r="O23">
        <v>0.22639999999999999</v>
      </c>
      <c r="P23">
        <v>0.31369999999999998</v>
      </c>
    </row>
    <row r="24" spans="1:16" x14ac:dyDescent="0.2">
      <c r="A24" t="s">
        <v>26</v>
      </c>
      <c r="B24" t="s">
        <v>18</v>
      </c>
      <c r="C24">
        <v>8.8099999999999998E-2</v>
      </c>
      <c r="D24">
        <v>0.20169999999999999</v>
      </c>
      <c r="E24">
        <v>6.4000000000000003E-3</v>
      </c>
      <c r="F24">
        <v>0.2291</v>
      </c>
      <c r="G24">
        <v>0.108</v>
      </c>
      <c r="H24">
        <v>0.19839999999999999</v>
      </c>
      <c r="I24">
        <v>4.0000000000000002E-4</v>
      </c>
      <c r="J24">
        <v>6.3700000000000007E-2</v>
      </c>
      <c r="K24">
        <v>0.15190000000000001</v>
      </c>
      <c r="L24">
        <v>0.22700000000000001</v>
      </c>
      <c r="M24">
        <v>0.2291</v>
      </c>
      <c r="N24">
        <v>8.1000000000000003E-2</v>
      </c>
      <c r="O24">
        <v>8.8999999999999996E-2</v>
      </c>
      <c r="P24">
        <v>0.17249999999999999</v>
      </c>
    </row>
    <row r="25" spans="1:16" x14ac:dyDescent="0.2">
      <c r="A25" t="s">
        <v>26</v>
      </c>
      <c r="B25" t="s">
        <v>19</v>
      </c>
      <c r="C25">
        <v>0.1215</v>
      </c>
      <c r="D25">
        <v>0.13270000000000001</v>
      </c>
      <c r="E25">
        <v>0.1132</v>
      </c>
      <c r="F25">
        <v>0.1371</v>
      </c>
      <c r="G25">
        <v>0.27179999999999999</v>
      </c>
      <c r="H25">
        <v>0.1356</v>
      </c>
      <c r="I25">
        <v>0.54249999999999998</v>
      </c>
      <c r="J25">
        <v>0.50549999999999995</v>
      </c>
      <c r="K25">
        <v>4.3E-3</v>
      </c>
      <c r="L25">
        <v>0.15029999999999999</v>
      </c>
      <c r="M25">
        <v>0.1371</v>
      </c>
      <c r="N25">
        <v>0.50190000000000001</v>
      </c>
      <c r="O25">
        <v>0.35830000000000001</v>
      </c>
      <c r="P25">
        <v>0.33589999999999998</v>
      </c>
    </row>
    <row r="26" spans="1:16" x14ac:dyDescent="0.2">
      <c r="A26" t="s">
        <v>26</v>
      </c>
      <c r="B26" t="s">
        <v>20</v>
      </c>
      <c r="C26">
        <v>1.8E-3</v>
      </c>
      <c r="D26">
        <v>2.01E-2</v>
      </c>
      <c r="E26">
        <v>7.1599999999999997E-2</v>
      </c>
      <c r="F26">
        <v>0.2293</v>
      </c>
      <c r="G26">
        <v>8.0999999999999996E-3</v>
      </c>
      <c r="H26">
        <v>8.7300000000000003E-2</v>
      </c>
      <c r="I26">
        <v>8.2199999999999995E-2</v>
      </c>
      <c r="J26">
        <v>4.3E-3</v>
      </c>
      <c r="K26">
        <v>4.9799999999999997E-2</v>
      </c>
      <c r="L26">
        <v>0.25890000000000002</v>
      </c>
      <c r="M26">
        <v>0.2293</v>
      </c>
      <c r="N26">
        <v>3.8600000000000002E-2</v>
      </c>
      <c r="O26">
        <v>0.1618</v>
      </c>
      <c r="P26">
        <v>0.21460000000000001</v>
      </c>
    </row>
    <row r="27" spans="1:16" x14ac:dyDescent="0.2">
      <c r="A27" t="s">
        <v>26</v>
      </c>
      <c r="B27" t="s">
        <v>21</v>
      </c>
      <c r="C27">
        <v>9.06E-2</v>
      </c>
      <c r="D27">
        <v>0.30980000000000002</v>
      </c>
      <c r="E27">
        <v>8.9899999999999994E-2</v>
      </c>
      <c r="F27">
        <v>0.88639999999999997</v>
      </c>
      <c r="G27">
        <v>0.13780000000000001</v>
      </c>
      <c r="H27">
        <v>0.42720000000000002</v>
      </c>
      <c r="I27">
        <v>3.4700000000000002E-2</v>
      </c>
      <c r="J27">
        <v>5.1200000000000002E-2</v>
      </c>
      <c r="K27">
        <v>0.65459999999999996</v>
      </c>
      <c r="L27">
        <v>0.80730000000000002</v>
      </c>
      <c r="M27">
        <v>0.88639999999999997</v>
      </c>
      <c r="N27">
        <v>0.60840000000000005</v>
      </c>
      <c r="O27">
        <v>0.76959999999999995</v>
      </c>
      <c r="P27">
        <v>0.76370000000000005</v>
      </c>
    </row>
    <row r="28" spans="1:16" x14ac:dyDescent="0.2">
      <c r="A28" t="s">
        <v>26</v>
      </c>
      <c r="B28" t="s">
        <v>22</v>
      </c>
      <c r="C28">
        <v>0.2364</v>
      </c>
      <c r="D28">
        <v>0.436</v>
      </c>
      <c r="E28">
        <v>3.0499999999999999E-2</v>
      </c>
      <c r="F28">
        <v>0.75949999999999995</v>
      </c>
      <c r="G28">
        <v>0.1918</v>
      </c>
      <c r="H28">
        <v>0.47860000000000003</v>
      </c>
      <c r="I28">
        <v>4.0000000000000002E-4</v>
      </c>
      <c r="J28">
        <v>0.1144</v>
      </c>
      <c r="K28">
        <v>0.61099999999999999</v>
      </c>
      <c r="L28">
        <v>0.72729999999999995</v>
      </c>
      <c r="M28">
        <v>0.75949999999999995</v>
      </c>
      <c r="N28">
        <v>0.43090000000000001</v>
      </c>
      <c r="O28">
        <v>0.5151</v>
      </c>
      <c r="P28">
        <v>0.55279999999999996</v>
      </c>
    </row>
    <row r="29" spans="1:16" x14ac:dyDescent="0.2">
      <c r="A29" t="s">
        <v>26</v>
      </c>
      <c r="B29" t="s">
        <v>23</v>
      </c>
      <c r="C29">
        <v>2.9499999999999998E-2</v>
      </c>
      <c r="D29">
        <v>7.2900000000000006E-2</v>
      </c>
      <c r="E29">
        <v>4.0000000000000002E-4</v>
      </c>
      <c r="F29">
        <v>0.85170000000000001</v>
      </c>
      <c r="G29">
        <v>0</v>
      </c>
      <c r="H29">
        <v>0.1026</v>
      </c>
      <c r="I29">
        <v>0.22620000000000001</v>
      </c>
      <c r="J29">
        <v>2.7099999999999999E-2</v>
      </c>
      <c r="K29">
        <v>0.3548</v>
      </c>
      <c r="L29">
        <v>0.84909999999999997</v>
      </c>
      <c r="M29">
        <v>0.85170000000000001</v>
      </c>
      <c r="N29">
        <v>0.89290000000000003</v>
      </c>
      <c r="O29">
        <v>0.93700000000000006</v>
      </c>
      <c r="P29">
        <v>0.87250000000000005</v>
      </c>
    </row>
    <row r="30" spans="1:16" x14ac:dyDescent="0.2">
      <c r="A30" t="s">
        <v>27</v>
      </c>
      <c r="B30" t="s">
        <v>17</v>
      </c>
      <c r="C30">
        <v>7.9799999999999996E-2</v>
      </c>
      <c r="D30">
        <v>0.14510000000000001</v>
      </c>
      <c r="E30">
        <v>6.54E-2</v>
      </c>
      <c r="F30">
        <v>0.1318</v>
      </c>
      <c r="G30">
        <v>0.15179999999999999</v>
      </c>
      <c r="H30">
        <v>0.28839999999999999</v>
      </c>
      <c r="I30">
        <v>2.4299999999999999E-2</v>
      </c>
      <c r="J30">
        <v>0.21590000000000001</v>
      </c>
      <c r="K30">
        <v>0.19719999999999999</v>
      </c>
      <c r="L30">
        <v>0.12540000000000001</v>
      </c>
      <c r="M30">
        <v>0.1318</v>
      </c>
      <c r="N30">
        <v>1E-4</v>
      </c>
      <c r="O30">
        <v>6.0600000000000001E-2</v>
      </c>
      <c r="P30">
        <v>4.24E-2</v>
      </c>
    </row>
    <row r="31" spans="1:16" x14ac:dyDescent="0.2">
      <c r="A31" t="s">
        <v>27</v>
      </c>
      <c r="B31" t="s">
        <v>18</v>
      </c>
      <c r="C31">
        <v>0.121</v>
      </c>
      <c r="D31">
        <v>0.26619999999999999</v>
      </c>
      <c r="E31">
        <v>0.1159</v>
      </c>
      <c r="F31">
        <v>1.1599999999999999E-2</v>
      </c>
      <c r="G31">
        <v>0.29880000000000001</v>
      </c>
      <c r="H31">
        <v>0.15279999999999999</v>
      </c>
      <c r="I31">
        <v>0.35770000000000002</v>
      </c>
      <c r="J31">
        <v>0.29199999999999998</v>
      </c>
      <c r="K31">
        <v>5.16E-2</v>
      </c>
      <c r="L31">
        <v>2.64E-2</v>
      </c>
      <c r="M31">
        <v>1.1599999999999999E-2</v>
      </c>
      <c r="N31">
        <v>4.6800000000000001E-2</v>
      </c>
      <c r="O31">
        <v>0.1167</v>
      </c>
      <c r="P31">
        <v>4.9099999999999998E-2</v>
      </c>
    </row>
    <row r="32" spans="1:16" x14ac:dyDescent="0.2">
      <c r="A32" t="s">
        <v>27</v>
      </c>
      <c r="B32" t="s">
        <v>19</v>
      </c>
      <c r="C32">
        <v>0.20250000000000001</v>
      </c>
      <c r="D32">
        <v>4.6100000000000002E-2</v>
      </c>
      <c r="E32">
        <v>7.7399999999999997E-2</v>
      </c>
      <c r="F32">
        <v>6.6500000000000004E-2</v>
      </c>
      <c r="G32">
        <v>8.9300000000000004E-2</v>
      </c>
      <c r="H32">
        <v>8.2699999999999996E-2</v>
      </c>
      <c r="I32">
        <v>0.36399999999999999</v>
      </c>
      <c r="J32">
        <v>0.3654</v>
      </c>
      <c r="K32">
        <v>1.1299999999999999E-2</v>
      </c>
      <c r="L32">
        <v>4.9700000000000001E-2</v>
      </c>
      <c r="M32">
        <v>6.6500000000000004E-2</v>
      </c>
      <c r="N32">
        <v>0.39700000000000002</v>
      </c>
      <c r="O32">
        <v>0.14410000000000001</v>
      </c>
      <c r="P32">
        <v>0.2949</v>
      </c>
    </row>
    <row r="33" spans="1:16" x14ac:dyDescent="0.2">
      <c r="A33" t="s">
        <v>27</v>
      </c>
      <c r="B33" t="s">
        <v>20</v>
      </c>
      <c r="C33">
        <v>5.1499999999999997E-2</v>
      </c>
      <c r="D33">
        <v>0.16300000000000001</v>
      </c>
      <c r="E33">
        <v>0.10680000000000001</v>
      </c>
      <c r="F33">
        <v>2.8899999999999999E-2</v>
      </c>
      <c r="G33">
        <v>0.20830000000000001</v>
      </c>
      <c r="H33">
        <v>7.85E-2</v>
      </c>
      <c r="I33">
        <v>0.27139999999999997</v>
      </c>
      <c r="J33">
        <v>0.18479999999999999</v>
      </c>
      <c r="K33">
        <v>1.9400000000000001E-2</v>
      </c>
      <c r="L33">
        <v>5.2699999999999997E-2</v>
      </c>
      <c r="M33">
        <v>2.8899999999999999E-2</v>
      </c>
      <c r="N33">
        <v>4.4200000000000003E-2</v>
      </c>
      <c r="O33">
        <v>0.12720000000000001</v>
      </c>
      <c r="P33">
        <v>5.6099999999999997E-2</v>
      </c>
    </row>
    <row r="34" spans="1:16" x14ac:dyDescent="0.2">
      <c r="A34" t="s">
        <v>27</v>
      </c>
      <c r="B34" t="s">
        <v>21</v>
      </c>
      <c r="C34">
        <v>0.16889999999999999</v>
      </c>
      <c r="D34">
        <v>0.42359999999999998</v>
      </c>
      <c r="E34">
        <v>9.6299999999999997E-2</v>
      </c>
      <c r="F34">
        <v>0.87390000000000001</v>
      </c>
      <c r="G34">
        <v>0.20230000000000001</v>
      </c>
      <c r="H34">
        <v>0.51910000000000001</v>
      </c>
      <c r="I34">
        <v>5.8999999999999999E-3</v>
      </c>
      <c r="J34">
        <v>0.1041</v>
      </c>
      <c r="K34">
        <v>0.72140000000000004</v>
      </c>
      <c r="L34">
        <v>0.80059999999999998</v>
      </c>
      <c r="M34">
        <v>0.87390000000000001</v>
      </c>
      <c r="N34">
        <v>0.54649999999999999</v>
      </c>
      <c r="O34">
        <v>0.67700000000000005</v>
      </c>
      <c r="P34">
        <v>0.68669999999999998</v>
      </c>
    </row>
    <row r="35" spans="1:16" x14ac:dyDescent="0.2">
      <c r="A35" t="s">
        <v>27</v>
      </c>
      <c r="B35" t="s">
        <v>22</v>
      </c>
      <c r="C35">
        <v>5.3900000000000003E-2</v>
      </c>
      <c r="D35">
        <v>0.10630000000000001</v>
      </c>
      <c r="E35">
        <v>1.66E-2</v>
      </c>
      <c r="F35">
        <v>0.66420000000000001</v>
      </c>
      <c r="G35">
        <v>1.9099999999999999E-2</v>
      </c>
      <c r="H35">
        <v>0.18890000000000001</v>
      </c>
      <c r="I35">
        <v>8.3900000000000002E-2</v>
      </c>
      <c r="J35">
        <v>3.0999999999999999E-3</v>
      </c>
      <c r="K35">
        <v>0.38390000000000002</v>
      </c>
      <c r="L35">
        <v>0.65549999999999997</v>
      </c>
      <c r="M35">
        <v>0.66420000000000001</v>
      </c>
      <c r="N35">
        <v>0.4803</v>
      </c>
      <c r="O35">
        <v>0.67869999999999997</v>
      </c>
      <c r="P35">
        <v>0.57089999999999996</v>
      </c>
    </row>
    <row r="36" spans="1:16" x14ac:dyDescent="0.2">
      <c r="A36" t="s">
        <v>27</v>
      </c>
      <c r="B36" t="s">
        <v>23</v>
      </c>
      <c r="C36">
        <v>2.9899999999999999E-2</v>
      </c>
      <c r="D36">
        <v>0.1953</v>
      </c>
      <c r="E36">
        <v>2.7699999999999999E-2</v>
      </c>
      <c r="F36">
        <v>0.77110000000000001</v>
      </c>
      <c r="G36">
        <v>5.7500000000000002E-2</v>
      </c>
      <c r="H36">
        <v>0.22869999999999999</v>
      </c>
      <c r="I36">
        <v>9.0999999999999998E-2</v>
      </c>
      <c r="J36">
        <v>8.0000000000000004E-4</v>
      </c>
      <c r="K36">
        <v>0.4486</v>
      </c>
      <c r="L36">
        <v>0.69510000000000005</v>
      </c>
      <c r="M36">
        <v>0.77110000000000001</v>
      </c>
      <c r="N36">
        <v>0.74199999999999999</v>
      </c>
      <c r="O36">
        <v>0.71599999999999997</v>
      </c>
      <c r="P36">
        <v>0.7974</v>
      </c>
    </row>
    <row r="37" spans="1:16" x14ac:dyDescent="0.2">
      <c r="A37" t="s">
        <v>28</v>
      </c>
      <c r="B37" t="s">
        <v>17</v>
      </c>
      <c r="C37">
        <v>0.57630000000000003</v>
      </c>
      <c r="D37">
        <v>0.30349999999999999</v>
      </c>
      <c r="E37">
        <v>0.2702</v>
      </c>
      <c r="F37">
        <v>1.4E-3</v>
      </c>
      <c r="G37">
        <v>0.2702</v>
      </c>
      <c r="H37">
        <v>0.27829999999999999</v>
      </c>
      <c r="I37">
        <v>0.64249999999999996</v>
      </c>
      <c r="J37">
        <v>0.61599999999999999</v>
      </c>
      <c r="K37">
        <v>0.19059999999999999</v>
      </c>
      <c r="L37">
        <v>8.0000000000000004E-4</v>
      </c>
      <c r="M37">
        <v>1.4E-3</v>
      </c>
      <c r="N37">
        <v>0.13469999999999999</v>
      </c>
      <c r="O37">
        <v>5.0200000000000002E-2</v>
      </c>
      <c r="P37">
        <v>0.1608</v>
      </c>
    </row>
    <row r="38" spans="1:16" x14ac:dyDescent="0.2">
      <c r="A38" t="s">
        <v>28</v>
      </c>
      <c r="B38" t="s">
        <v>18</v>
      </c>
      <c r="C38">
        <v>5.9999999999999995E-4</v>
      </c>
      <c r="D38">
        <v>0.06</v>
      </c>
      <c r="E38">
        <v>3.0599999999999999E-2</v>
      </c>
      <c r="F38">
        <v>0.16569999999999999</v>
      </c>
      <c r="G38">
        <v>7.1000000000000004E-3</v>
      </c>
      <c r="H38">
        <v>1.34E-2</v>
      </c>
      <c r="I38">
        <v>4.6199999999999998E-2</v>
      </c>
      <c r="J38">
        <v>2.4899999999999999E-2</v>
      </c>
      <c r="K38">
        <v>4.1099999999999998E-2</v>
      </c>
      <c r="L38">
        <v>0.14319999999999999</v>
      </c>
      <c r="M38">
        <v>0.16569999999999999</v>
      </c>
      <c r="N38">
        <v>0.32440000000000002</v>
      </c>
      <c r="O38">
        <v>0.10979999999999999</v>
      </c>
      <c r="P38">
        <v>0.26910000000000001</v>
      </c>
    </row>
    <row r="39" spans="1:16" x14ac:dyDescent="0.2">
      <c r="A39" t="s">
        <v>28</v>
      </c>
      <c r="B39" t="s">
        <v>19</v>
      </c>
      <c r="C39">
        <v>2.1899999999999999E-2</v>
      </c>
      <c r="D39">
        <v>0.1249</v>
      </c>
      <c r="E39">
        <v>0</v>
      </c>
      <c r="F39">
        <v>0.1419</v>
      </c>
      <c r="G39">
        <v>2.87E-2</v>
      </c>
      <c r="H39">
        <v>2.69E-2</v>
      </c>
      <c r="I39">
        <v>2.5000000000000001E-3</v>
      </c>
      <c r="J39">
        <v>4.7000000000000002E-3</v>
      </c>
      <c r="K39">
        <v>8.2799999999999999E-2</v>
      </c>
      <c r="L39">
        <v>0.1104</v>
      </c>
      <c r="M39">
        <v>0.1419</v>
      </c>
      <c r="N39">
        <v>0.35110000000000002</v>
      </c>
      <c r="O39">
        <v>8.2199999999999995E-2</v>
      </c>
      <c r="P39">
        <v>0.20200000000000001</v>
      </c>
    </row>
    <row r="40" spans="1:16" x14ac:dyDescent="0.2">
      <c r="A40" t="s">
        <v>28</v>
      </c>
      <c r="B40" t="s">
        <v>20</v>
      </c>
      <c r="C40">
        <v>0.5635</v>
      </c>
      <c r="D40">
        <v>0.13400000000000001</v>
      </c>
      <c r="E40">
        <v>9.1999999999999998E-3</v>
      </c>
      <c r="F40">
        <v>1.3299999999999999E-2</v>
      </c>
      <c r="G40">
        <v>2.5000000000000001E-3</v>
      </c>
      <c r="H40">
        <v>4.7000000000000002E-3</v>
      </c>
      <c r="I40">
        <v>0.18360000000000001</v>
      </c>
      <c r="J40">
        <v>1.6500000000000001E-2</v>
      </c>
      <c r="K40">
        <v>9.2100000000000001E-2</v>
      </c>
      <c r="L40">
        <v>2.4899999999999999E-2</v>
      </c>
      <c r="M40">
        <v>1.3299999999999999E-2</v>
      </c>
      <c r="N40">
        <v>9.6199999999999994E-2</v>
      </c>
      <c r="O40">
        <v>2.5000000000000001E-3</v>
      </c>
      <c r="P40">
        <v>1.01E-2</v>
      </c>
    </row>
    <row r="41" spans="1:16" x14ac:dyDescent="0.2">
      <c r="A41" t="s">
        <v>28</v>
      </c>
      <c r="B41" t="s">
        <v>21</v>
      </c>
      <c r="C41">
        <v>0.13730000000000001</v>
      </c>
      <c r="D41">
        <v>0.19359999999999999</v>
      </c>
      <c r="E41">
        <v>2.5000000000000001E-2</v>
      </c>
      <c r="F41">
        <v>0.48370000000000002</v>
      </c>
      <c r="G41">
        <v>5.5E-2</v>
      </c>
      <c r="H41">
        <v>0.20610000000000001</v>
      </c>
      <c r="I41">
        <v>5.8999999999999999E-3</v>
      </c>
      <c r="J41">
        <v>2.58E-2</v>
      </c>
      <c r="K41">
        <v>0.36930000000000002</v>
      </c>
      <c r="L41">
        <v>0.47099999999999997</v>
      </c>
      <c r="M41">
        <v>0.48370000000000002</v>
      </c>
      <c r="N41">
        <v>0.3674</v>
      </c>
      <c r="O41">
        <v>0.40670000000000001</v>
      </c>
      <c r="P41">
        <v>0.3609</v>
      </c>
    </row>
    <row r="42" spans="1:16" x14ac:dyDescent="0.2">
      <c r="A42" t="s">
        <v>28</v>
      </c>
      <c r="B42" t="s">
        <v>22</v>
      </c>
      <c r="C42">
        <v>1.9800000000000002E-2</v>
      </c>
      <c r="D42">
        <v>4.3400000000000001E-2</v>
      </c>
      <c r="E42">
        <v>6.9999999999999999E-4</v>
      </c>
      <c r="F42">
        <v>8.6E-3</v>
      </c>
      <c r="G42">
        <v>8.6199999999999999E-2</v>
      </c>
      <c r="H42">
        <v>1.6199999999999999E-2</v>
      </c>
      <c r="I42">
        <v>1.4200000000000001E-2</v>
      </c>
      <c r="J42">
        <v>1.61E-2</v>
      </c>
      <c r="K42">
        <v>3.3E-3</v>
      </c>
      <c r="L42">
        <v>2.3599999999999999E-2</v>
      </c>
      <c r="M42">
        <v>8.6E-3</v>
      </c>
      <c r="N42">
        <v>6.7000000000000002E-3</v>
      </c>
      <c r="O42">
        <v>6.5299999999999997E-2</v>
      </c>
      <c r="P42">
        <v>2.9999999999999997E-4</v>
      </c>
    </row>
    <row r="43" spans="1:16" x14ac:dyDescent="0.2">
      <c r="A43" t="s">
        <v>28</v>
      </c>
      <c r="B43" t="s">
        <v>23</v>
      </c>
      <c r="C43">
        <v>0</v>
      </c>
      <c r="D43">
        <v>0.1893</v>
      </c>
      <c r="E43">
        <v>5.2600000000000001E-2</v>
      </c>
      <c r="F43">
        <v>5.0000000000000001E-3</v>
      </c>
      <c r="G43">
        <v>0.22009999999999999</v>
      </c>
      <c r="H43">
        <v>9.3799999999999994E-2</v>
      </c>
      <c r="I43">
        <v>5.2499999999999998E-2</v>
      </c>
      <c r="J43">
        <v>5.9799999999999999E-2</v>
      </c>
      <c r="K43">
        <v>3.6900000000000002E-2</v>
      </c>
      <c r="L43">
        <v>6.9999999999999999E-4</v>
      </c>
      <c r="M43">
        <v>5.0000000000000001E-3</v>
      </c>
      <c r="N43">
        <v>1.7000000000000001E-2</v>
      </c>
      <c r="O43">
        <v>1.3899999999999999E-2</v>
      </c>
      <c r="P43">
        <v>2.4E-2</v>
      </c>
    </row>
    <row r="44" spans="1:16" x14ac:dyDescent="0.2">
      <c r="A44" t="s">
        <v>29</v>
      </c>
      <c r="B44" t="s">
        <v>17</v>
      </c>
      <c r="C44">
        <v>8.5800000000000001E-2</v>
      </c>
      <c r="D44">
        <v>2.7000000000000001E-3</v>
      </c>
      <c r="E44">
        <v>3.0000000000000001E-3</v>
      </c>
      <c r="F44">
        <v>0.30530000000000002</v>
      </c>
      <c r="G44">
        <v>2.0899999999999998E-2</v>
      </c>
      <c r="H44">
        <v>2.52E-2</v>
      </c>
      <c r="I44">
        <v>5.79E-2</v>
      </c>
      <c r="J44">
        <v>3.3999999999999998E-3</v>
      </c>
      <c r="K44">
        <v>0.16639999999999999</v>
      </c>
      <c r="L44">
        <v>0.36470000000000002</v>
      </c>
      <c r="M44">
        <v>0.30530000000000002</v>
      </c>
      <c r="N44">
        <v>0.22220000000000001</v>
      </c>
      <c r="O44">
        <v>0.44600000000000001</v>
      </c>
      <c r="P44">
        <v>0.17649999999999999</v>
      </c>
    </row>
    <row r="45" spans="1:16" x14ac:dyDescent="0.2">
      <c r="A45" t="s">
        <v>29</v>
      </c>
      <c r="B45" t="s">
        <v>18</v>
      </c>
      <c r="C45">
        <v>0.55700000000000005</v>
      </c>
      <c r="D45">
        <v>0.1067</v>
      </c>
      <c r="E45">
        <v>1.89E-2</v>
      </c>
      <c r="F45">
        <v>4.0800000000000003E-2</v>
      </c>
      <c r="G45">
        <v>6.6199999999999995E-2</v>
      </c>
      <c r="H45">
        <v>7.1599999999999997E-2</v>
      </c>
      <c r="I45">
        <v>0.4718</v>
      </c>
      <c r="J45">
        <v>0.31259999999999999</v>
      </c>
      <c r="K45">
        <v>3.5499999999999997E-2</v>
      </c>
      <c r="L45">
        <v>1.67E-2</v>
      </c>
      <c r="M45">
        <v>4.0800000000000003E-2</v>
      </c>
      <c r="N45">
        <v>0.25309999999999999</v>
      </c>
      <c r="O45">
        <v>0.19220000000000001</v>
      </c>
      <c r="P45">
        <v>0.30859999999999999</v>
      </c>
    </row>
    <row r="46" spans="1:16" x14ac:dyDescent="0.2">
      <c r="A46" t="s">
        <v>29</v>
      </c>
      <c r="B46" t="s">
        <v>19</v>
      </c>
      <c r="C46">
        <v>0.44419999999999998</v>
      </c>
      <c r="D46">
        <v>5.8200000000000002E-2</v>
      </c>
      <c r="E46">
        <v>1.9E-3</v>
      </c>
      <c r="F46">
        <v>4.3200000000000002E-2</v>
      </c>
      <c r="G46">
        <v>3.49E-2</v>
      </c>
      <c r="H46">
        <v>4.6600000000000003E-2</v>
      </c>
      <c r="I46">
        <v>0.34899999999999998</v>
      </c>
      <c r="J46">
        <v>0.245</v>
      </c>
      <c r="K46">
        <v>1.3599999999999999E-2</v>
      </c>
      <c r="L46">
        <v>1.4800000000000001E-2</v>
      </c>
      <c r="M46">
        <v>4.3200000000000002E-2</v>
      </c>
      <c r="N46">
        <v>0.28270000000000001</v>
      </c>
      <c r="O46">
        <v>0.17599999999999999</v>
      </c>
      <c r="P46">
        <v>0.28849999999999998</v>
      </c>
    </row>
    <row r="47" spans="1:16" x14ac:dyDescent="0.2">
      <c r="A47" t="s">
        <v>29</v>
      </c>
      <c r="B47" t="s">
        <v>20</v>
      </c>
      <c r="C47">
        <v>0.43509999999999999</v>
      </c>
      <c r="D47">
        <v>8.5599999999999996E-2</v>
      </c>
      <c r="E47">
        <v>8.8999999999999999E-3</v>
      </c>
      <c r="F47">
        <v>1.89E-2</v>
      </c>
      <c r="G47">
        <v>5.6500000000000002E-2</v>
      </c>
      <c r="H47">
        <v>7.2999999999999995E-2</v>
      </c>
      <c r="I47">
        <v>0.35720000000000002</v>
      </c>
      <c r="J47">
        <v>0.29239999999999999</v>
      </c>
      <c r="K47">
        <v>2.5499999999999998E-2</v>
      </c>
      <c r="L47">
        <v>4.7000000000000002E-3</v>
      </c>
      <c r="M47">
        <v>1.89E-2</v>
      </c>
      <c r="N47">
        <v>0.20430000000000001</v>
      </c>
      <c r="O47">
        <v>8.3799999999999999E-2</v>
      </c>
      <c r="P47">
        <v>0.21190000000000001</v>
      </c>
    </row>
    <row r="48" spans="1:16" x14ac:dyDescent="0.2">
      <c r="A48" t="s">
        <v>29</v>
      </c>
      <c r="B48" t="s">
        <v>21</v>
      </c>
      <c r="C48">
        <v>0.1804</v>
      </c>
      <c r="D48">
        <v>3.0999999999999999E-3</v>
      </c>
      <c r="E48">
        <v>8.0399999999999999E-2</v>
      </c>
      <c r="F48">
        <v>0.14899999999999999</v>
      </c>
      <c r="G48">
        <v>0.1883</v>
      </c>
      <c r="H48">
        <v>4.8399999999999999E-2</v>
      </c>
      <c r="I48">
        <v>5.5100000000000003E-2</v>
      </c>
      <c r="J48">
        <v>0.1575</v>
      </c>
      <c r="K48">
        <v>3.1099999999999999E-2</v>
      </c>
      <c r="L48">
        <v>0.22869999999999999</v>
      </c>
      <c r="M48">
        <v>0.14899999999999999</v>
      </c>
      <c r="N48">
        <v>0.43259999999999998</v>
      </c>
      <c r="O48">
        <v>0.2712</v>
      </c>
      <c r="P48">
        <v>8.72E-2</v>
      </c>
    </row>
    <row r="49" spans="1:16" x14ac:dyDescent="0.2">
      <c r="A49" t="s">
        <v>29</v>
      </c>
      <c r="B49" t="s">
        <v>22</v>
      </c>
      <c r="C49">
        <v>0.39450000000000002</v>
      </c>
      <c r="D49">
        <v>7.8200000000000006E-2</v>
      </c>
      <c r="E49">
        <v>6.4799999999999996E-2</v>
      </c>
      <c r="F49">
        <v>0.1046</v>
      </c>
      <c r="G49">
        <v>5.0299999999999997E-2</v>
      </c>
      <c r="H49">
        <v>2.3E-2</v>
      </c>
      <c r="I49">
        <v>0.48209999999999997</v>
      </c>
      <c r="J49">
        <v>0.20649999999999999</v>
      </c>
      <c r="K49">
        <v>1.61E-2</v>
      </c>
      <c r="L49">
        <v>8.8400000000000006E-2</v>
      </c>
      <c r="M49">
        <v>0.1046</v>
      </c>
      <c r="N49">
        <v>0.1757</v>
      </c>
      <c r="O49">
        <v>0.26679999999999998</v>
      </c>
      <c r="P49">
        <v>0.35110000000000002</v>
      </c>
    </row>
    <row r="50" spans="1:16" x14ac:dyDescent="0.2">
      <c r="A50" t="s">
        <v>29</v>
      </c>
      <c r="B50" t="s">
        <v>23</v>
      </c>
      <c r="C50">
        <v>6.1699999999999998E-2</v>
      </c>
      <c r="D50">
        <v>2.0799999999999999E-2</v>
      </c>
      <c r="E50">
        <v>5.6599999999999998E-2</v>
      </c>
      <c r="F50">
        <v>0.1132</v>
      </c>
      <c r="G50">
        <v>1.5900000000000001E-2</v>
      </c>
      <c r="H50">
        <v>8.3000000000000001E-3</v>
      </c>
      <c r="I50">
        <v>4.4699999999999997E-2</v>
      </c>
      <c r="J50">
        <v>2.2700000000000001E-2</v>
      </c>
      <c r="K50">
        <v>5.1499999999999997E-2</v>
      </c>
      <c r="L50">
        <v>5.5E-2</v>
      </c>
      <c r="M50">
        <v>0.1132</v>
      </c>
      <c r="N50">
        <v>0.34129999999999999</v>
      </c>
      <c r="O50">
        <v>0.17050000000000001</v>
      </c>
      <c r="P50">
        <v>0.25</v>
      </c>
    </row>
    <row r="51" spans="1:16" x14ac:dyDescent="0.2">
      <c r="A51" t="s">
        <v>30</v>
      </c>
      <c r="B51" t="s">
        <v>17</v>
      </c>
      <c r="C51">
        <v>2.7E-2</v>
      </c>
      <c r="D51">
        <v>0.23930000000000001</v>
      </c>
      <c r="E51">
        <v>0.22869999999999999</v>
      </c>
      <c r="F51">
        <v>0.26989999999999997</v>
      </c>
      <c r="G51">
        <v>0.16350000000000001</v>
      </c>
      <c r="H51">
        <v>0.22009999999999999</v>
      </c>
      <c r="I51">
        <v>2.5999999999999999E-3</v>
      </c>
      <c r="J51">
        <v>5.0299999999999997E-2</v>
      </c>
      <c r="K51">
        <v>0.34110000000000001</v>
      </c>
      <c r="L51">
        <v>0.18629999999999999</v>
      </c>
      <c r="M51">
        <v>0.26989999999999997</v>
      </c>
      <c r="N51">
        <v>0.29780000000000001</v>
      </c>
      <c r="O51">
        <v>0.2089</v>
      </c>
      <c r="P51">
        <v>0.26400000000000001</v>
      </c>
    </row>
    <row r="52" spans="1:16" x14ac:dyDescent="0.2">
      <c r="A52" t="s">
        <v>30</v>
      </c>
      <c r="B52" t="s">
        <v>18</v>
      </c>
      <c r="C52">
        <v>1.2699999999999999E-2</v>
      </c>
      <c r="D52">
        <v>2.9999999999999997E-4</v>
      </c>
      <c r="E52">
        <v>3.0000000000000001E-3</v>
      </c>
      <c r="F52">
        <v>6.8999999999999999E-3</v>
      </c>
      <c r="G52">
        <v>2.29E-2</v>
      </c>
      <c r="H52">
        <v>2.8299999999999999E-2</v>
      </c>
      <c r="I52">
        <v>1.1000000000000001E-3</v>
      </c>
      <c r="J52">
        <v>5.9299999999999999E-2</v>
      </c>
      <c r="K52">
        <v>5.3E-3</v>
      </c>
      <c r="L52">
        <v>5.5999999999999999E-3</v>
      </c>
      <c r="M52">
        <v>6.8999999999999999E-3</v>
      </c>
      <c r="N52">
        <v>0.17530000000000001</v>
      </c>
      <c r="O52">
        <v>2.5399999999999999E-2</v>
      </c>
      <c r="P52">
        <v>1.3299999999999999E-2</v>
      </c>
    </row>
    <row r="53" spans="1:16" x14ac:dyDescent="0.2">
      <c r="A53" t="s">
        <v>30</v>
      </c>
      <c r="B53" t="s">
        <v>19</v>
      </c>
      <c r="C53">
        <v>8.6599999999999996E-2</v>
      </c>
      <c r="D53">
        <v>5.45E-2</v>
      </c>
      <c r="E53">
        <v>0.10920000000000001</v>
      </c>
      <c r="F53">
        <v>0.30349999999999999</v>
      </c>
      <c r="G53">
        <v>1.2500000000000001E-2</v>
      </c>
      <c r="H53">
        <v>0.13159999999999999</v>
      </c>
      <c r="I53">
        <v>5.0000000000000001E-3</v>
      </c>
      <c r="J53">
        <v>2.81E-2</v>
      </c>
      <c r="K53">
        <v>0.29449999999999998</v>
      </c>
      <c r="L53">
        <v>0.30630000000000002</v>
      </c>
      <c r="M53">
        <v>0.30349999999999999</v>
      </c>
      <c r="N53">
        <v>0.1623</v>
      </c>
      <c r="O53">
        <v>0.36870000000000003</v>
      </c>
      <c r="P53">
        <v>0.1663</v>
      </c>
    </row>
    <row r="54" spans="1:16" x14ac:dyDescent="0.2">
      <c r="A54" t="s">
        <v>30</v>
      </c>
      <c r="B54" t="s">
        <v>20</v>
      </c>
      <c r="C54">
        <v>5.4000000000000003E-3</v>
      </c>
      <c r="D54">
        <v>0.1565</v>
      </c>
      <c r="E54">
        <v>0.21590000000000001</v>
      </c>
      <c r="F54">
        <v>7.3999999999999996E-2</v>
      </c>
      <c r="G54">
        <v>0.376</v>
      </c>
      <c r="H54">
        <v>0.44309999999999999</v>
      </c>
      <c r="I54">
        <v>1.95E-2</v>
      </c>
      <c r="J54">
        <v>0.35020000000000001</v>
      </c>
      <c r="K54">
        <v>0.16339999999999999</v>
      </c>
      <c r="L54">
        <v>3.5900000000000001E-2</v>
      </c>
      <c r="M54">
        <v>7.3999999999999996E-2</v>
      </c>
      <c r="N54">
        <v>3.6900000000000002E-2</v>
      </c>
      <c r="O54">
        <v>1.4500000000000001E-2</v>
      </c>
      <c r="P54">
        <v>5.11E-2</v>
      </c>
    </row>
    <row r="55" spans="1:16" x14ac:dyDescent="0.2">
      <c r="A55" t="s">
        <v>30</v>
      </c>
      <c r="B55" t="s">
        <v>21</v>
      </c>
      <c r="C55">
        <v>2.5100000000000001E-2</v>
      </c>
      <c r="D55">
        <v>8.3999999999999995E-3</v>
      </c>
      <c r="E55">
        <v>0.126</v>
      </c>
      <c r="F55">
        <v>0.36620000000000003</v>
      </c>
      <c r="G55">
        <v>0.16270000000000001</v>
      </c>
      <c r="H55">
        <v>1.3899999999999999E-2</v>
      </c>
      <c r="I55">
        <v>0.28420000000000001</v>
      </c>
      <c r="J55">
        <v>0.21199999999999999</v>
      </c>
      <c r="K55">
        <v>4.87E-2</v>
      </c>
      <c r="L55">
        <v>0.45669999999999999</v>
      </c>
      <c r="M55">
        <v>0.36620000000000003</v>
      </c>
      <c r="N55">
        <v>0.5978</v>
      </c>
      <c r="O55">
        <v>0.55920000000000003</v>
      </c>
      <c r="P55">
        <v>0.37569999999999998</v>
      </c>
    </row>
    <row r="56" spans="1:16" x14ac:dyDescent="0.2">
      <c r="A56" t="s">
        <v>30</v>
      </c>
      <c r="B56" t="s">
        <v>22</v>
      </c>
      <c r="C56">
        <v>4.48E-2</v>
      </c>
      <c r="D56">
        <v>7.4999999999999997E-3</v>
      </c>
      <c r="E56">
        <v>8.5000000000000006E-2</v>
      </c>
      <c r="F56">
        <v>0.58560000000000001</v>
      </c>
      <c r="G56">
        <v>5.7799999999999997E-2</v>
      </c>
      <c r="H56">
        <v>3.8999999999999998E-3</v>
      </c>
      <c r="I56">
        <v>0.26269999999999999</v>
      </c>
      <c r="J56">
        <v>0.12429999999999999</v>
      </c>
      <c r="K56">
        <v>0.1431</v>
      </c>
      <c r="L56">
        <v>0.66379999999999995</v>
      </c>
      <c r="M56">
        <v>0.58560000000000001</v>
      </c>
      <c r="N56">
        <v>0.77910000000000001</v>
      </c>
      <c r="O56">
        <v>0.71779999999999999</v>
      </c>
      <c r="P56">
        <v>0.5948</v>
      </c>
    </row>
    <row r="57" spans="1:16" x14ac:dyDescent="0.2">
      <c r="A57" t="s">
        <v>30</v>
      </c>
      <c r="B57" t="s">
        <v>23</v>
      </c>
      <c r="C57">
        <v>7.1300000000000002E-2</v>
      </c>
      <c r="D57">
        <v>6.3700000000000007E-2</v>
      </c>
      <c r="E57">
        <v>0.1515</v>
      </c>
      <c r="F57">
        <v>0.1741</v>
      </c>
      <c r="G57">
        <v>7.1000000000000004E-3</v>
      </c>
      <c r="H57">
        <v>4.1300000000000003E-2</v>
      </c>
      <c r="I57">
        <v>1E-4</v>
      </c>
      <c r="J57">
        <v>8.0000000000000004E-4</v>
      </c>
      <c r="K57">
        <v>0.2195</v>
      </c>
      <c r="L57">
        <v>0.14929999999999999</v>
      </c>
      <c r="M57">
        <v>0.1741</v>
      </c>
      <c r="N57">
        <v>0.3039</v>
      </c>
      <c r="O57">
        <v>0.2324</v>
      </c>
      <c r="P57">
        <v>0.1225</v>
      </c>
    </row>
    <row r="58" spans="1:16" x14ac:dyDescent="0.2">
      <c r="A58" t="s">
        <v>31</v>
      </c>
      <c r="B58" t="s">
        <v>17</v>
      </c>
      <c r="C58">
        <v>8.5800000000000001E-2</v>
      </c>
      <c r="D58">
        <v>2.7000000000000001E-3</v>
      </c>
      <c r="E58">
        <v>3.0000000000000001E-3</v>
      </c>
      <c r="F58">
        <v>0.30530000000000002</v>
      </c>
      <c r="G58">
        <v>2.0899999999999998E-2</v>
      </c>
      <c r="H58">
        <v>2.52E-2</v>
      </c>
      <c r="I58">
        <v>5.79E-2</v>
      </c>
      <c r="J58">
        <v>3.3999999999999998E-3</v>
      </c>
      <c r="K58">
        <v>0.16639999999999999</v>
      </c>
      <c r="L58">
        <v>0.36470000000000002</v>
      </c>
      <c r="M58">
        <v>0.30530000000000002</v>
      </c>
      <c r="N58">
        <v>0.22220000000000001</v>
      </c>
      <c r="O58">
        <v>0.44600000000000001</v>
      </c>
      <c r="P58">
        <v>0.17649999999999999</v>
      </c>
    </row>
    <row r="59" spans="1:16" x14ac:dyDescent="0.2">
      <c r="A59" t="s">
        <v>31</v>
      </c>
      <c r="B59" t="s">
        <v>18</v>
      </c>
      <c r="C59">
        <v>4.6600000000000003E-2</v>
      </c>
      <c r="D59">
        <v>0.6421</v>
      </c>
      <c r="E59">
        <v>0.40699999999999997</v>
      </c>
      <c r="F59">
        <v>0.1663</v>
      </c>
      <c r="G59">
        <v>0.76349999999999996</v>
      </c>
      <c r="H59">
        <v>0.69820000000000004</v>
      </c>
      <c r="I59">
        <v>0.15809999999999999</v>
      </c>
      <c r="J59">
        <v>0.49730000000000002</v>
      </c>
      <c r="K59">
        <v>0.43440000000000001</v>
      </c>
      <c r="L59">
        <v>7.6999999999999999E-2</v>
      </c>
      <c r="M59">
        <v>0.1663</v>
      </c>
      <c r="N59">
        <v>2.1299999999999999E-2</v>
      </c>
      <c r="O59">
        <v>1.89E-2</v>
      </c>
      <c r="P59">
        <v>0.1246</v>
      </c>
    </row>
    <row r="60" spans="1:16" x14ac:dyDescent="0.2">
      <c r="A60" t="s">
        <v>31</v>
      </c>
      <c r="B60" t="s">
        <v>19</v>
      </c>
      <c r="C60">
        <v>8.7099999999999997E-2</v>
      </c>
      <c r="D60">
        <v>2.2000000000000001E-3</v>
      </c>
      <c r="E60">
        <v>8.6E-3</v>
      </c>
      <c r="F60">
        <v>0.2404</v>
      </c>
      <c r="G60">
        <v>1.7000000000000001E-2</v>
      </c>
      <c r="H60">
        <v>2.2800000000000001E-2</v>
      </c>
      <c r="I60">
        <v>3.5200000000000002E-2</v>
      </c>
      <c r="J60">
        <v>8.0000000000000004E-4</v>
      </c>
      <c r="K60">
        <v>0.14910000000000001</v>
      </c>
      <c r="L60">
        <v>0.29070000000000001</v>
      </c>
      <c r="M60">
        <v>0.2404</v>
      </c>
      <c r="N60">
        <v>0.16470000000000001</v>
      </c>
      <c r="O60">
        <v>0.36449999999999999</v>
      </c>
      <c r="P60">
        <v>0.12180000000000001</v>
      </c>
    </row>
    <row r="61" spans="1:16" x14ac:dyDescent="0.2">
      <c r="A61" t="s">
        <v>31</v>
      </c>
      <c r="B61" t="s">
        <v>20</v>
      </c>
      <c r="C61">
        <v>0.35899999999999999</v>
      </c>
      <c r="D61">
        <v>0.85460000000000003</v>
      </c>
      <c r="E61">
        <v>0.33460000000000001</v>
      </c>
      <c r="F61">
        <v>0.4869</v>
      </c>
      <c r="G61">
        <v>0.63400000000000001</v>
      </c>
      <c r="H61">
        <v>0.83489999999999998</v>
      </c>
      <c r="I61">
        <v>0.15740000000000001</v>
      </c>
      <c r="J61">
        <v>0.49349999999999999</v>
      </c>
      <c r="K61">
        <v>0.81230000000000002</v>
      </c>
      <c r="L61">
        <v>0.38440000000000002</v>
      </c>
      <c r="M61">
        <v>0.4869</v>
      </c>
      <c r="N61">
        <v>0.18709999999999999</v>
      </c>
      <c r="O61">
        <v>0.19570000000000001</v>
      </c>
      <c r="P61">
        <v>0.26219999999999999</v>
      </c>
    </row>
    <row r="62" spans="1:16" x14ac:dyDescent="0.2">
      <c r="A62" t="s">
        <v>31</v>
      </c>
      <c r="B62" t="s">
        <v>21</v>
      </c>
      <c r="C62">
        <v>8.6900000000000005E-2</v>
      </c>
      <c r="D62">
        <v>0.4824</v>
      </c>
      <c r="E62">
        <v>0.54330000000000001</v>
      </c>
      <c r="F62">
        <v>4.3E-3</v>
      </c>
      <c r="G62">
        <v>0.56430000000000002</v>
      </c>
      <c r="H62">
        <v>0.3453</v>
      </c>
      <c r="I62">
        <v>0.38990000000000002</v>
      </c>
      <c r="J62">
        <v>0.4088</v>
      </c>
      <c r="K62">
        <v>0.23719999999999999</v>
      </c>
      <c r="L62">
        <v>3.5999999999999999E-3</v>
      </c>
      <c r="M62">
        <v>4.3E-3</v>
      </c>
      <c r="N62">
        <v>1E-4</v>
      </c>
      <c r="O62">
        <v>2.35E-2</v>
      </c>
      <c r="P62">
        <v>2.0000000000000001E-4</v>
      </c>
    </row>
    <row r="63" spans="1:16" x14ac:dyDescent="0.2">
      <c r="A63" t="s">
        <v>31</v>
      </c>
      <c r="B63" t="s">
        <v>22</v>
      </c>
      <c r="C63">
        <v>0.15179999999999999</v>
      </c>
      <c r="D63">
        <v>0.77649999999999997</v>
      </c>
      <c r="E63">
        <v>0.39600000000000002</v>
      </c>
      <c r="F63">
        <v>0.26500000000000001</v>
      </c>
      <c r="G63">
        <v>0.76700000000000002</v>
      </c>
      <c r="H63">
        <v>0.79110000000000003</v>
      </c>
      <c r="I63">
        <v>0.18809999999999999</v>
      </c>
      <c r="J63">
        <v>0.54279999999999995</v>
      </c>
      <c r="K63">
        <v>0.58689999999999998</v>
      </c>
      <c r="L63">
        <v>0.16209999999999999</v>
      </c>
      <c r="M63">
        <v>0.26500000000000001</v>
      </c>
      <c r="N63">
        <v>5.9400000000000001E-2</v>
      </c>
      <c r="O63">
        <v>5.5100000000000003E-2</v>
      </c>
      <c r="P63">
        <v>0.161</v>
      </c>
    </row>
    <row r="64" spans="1:16" x14ac:dyDescent="0.2">
      <c r="A64" t="s">
        <v>31</v>
      </c>
      <c r="B64" t="s">
        <v>23</v>
      </c>
      <c r="C64">
        <v>8.9800000000000005E-2</v>
      </c>
      <c r="D64">
        <v>1.09E-2</v>
      </c>
      <c r="E64">
        <v>1.5299999999999999E-2</v>
      </c>
      <c r="F64">
        <v>1E-4</v>
      </c>
      <c r="G64">
        <v>3.7900000000000003E-2</v>
      </c>
      <c r="H64">
        <v>5.7000000000000002E-3</v>
      </c>
      <c r="I64">
        <v>1.0999999999999999E-2</v>
      </c>
      <c r="J64">
        <v>4.0000000000000002E-4</v>
      </c>
      <c r="K64">
        <v>7.3000000000000001E-3</v>
      </c>
      <c r="L64">
        <v>2.5000000000000001E-3</v>
      </c>
      <c r="M64">
        <v>1E-4</v>
      </c>
      <c r="N64">
        <v>1.2999999999999999E-3</v>
      </c>
      <c r="O64">
        <v>1.12E-2</v>
      </c>
      <c r="P64">
        <v>3.49E-2</v>
      </c>
    </row>
    <row r="65" spans="2:16" x14ac:dyDescent="0.2"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</row>
    <row r="66" spans="2:16" x14ac:dyDescent="0.2">
      <c r="B66" t="s">
        <v>32</v>
      </c>
      <c r="C66">
        <f>AVERAGE(C2:C64)</f>
        <v>0.14986666666666668</v>
      </c>
      <c r="D66">
        <f t="shared" ref="D66:O66" si="0">AVERAGE(D2:D64)</f>
        <v>0.15964285714285717</v>
      </c>
      <c r="E66">
        <f t="shared" si="0"/>
        <v>0.10133650793650796</v>
      </c>
      <c r="F66">
        <f t="shared" si="0"/>
        <v>0.27847301587301582</v>
      </c>
      <c r="G66">
        <f t="shared" si="0"/>
        <v>0.14620634920634926</v>
      </c>
      <c r="H66">
        <f t="shared" si="0"/>
        <v>0.16327142857142854</v>
      </c>
      <c r="I66">
        <f t="shared" si="0"/>
        <v>0.155268253968254</v>
      </c>
      <c r="J66">
        <f t="shared" si="0"/>
        <v>0.1470174603174603</v>
      </c>
      <c r="K66">
        <f t="shared" si="0"/>
        <v>0.2028619047619048</v>
      </c>
      <c r="L66">
        <f t="shared" si="0"/>
        <v>0.27940952380952372</v>
      </c>
      <c r="M66">
        <f t="shared" si="0"/>
        <v>0.27847301587301582</v>
      </c>
      <c r="N66">
        <f t="shared" si="0"/>
        <v>0.29481111111111113</v>
      </c>
      <c r="O66">
        <f t="shared" si="0"/>
        <v>0.29926666666666663</v>
      </c>
      <c r="P66">
        <f>AVERAGE(P2:P64)</f>
        <v>0.26793650793650792</v>
      </c>
    </row>
    <row r="67" spans="2:16" x14ac:dyDescent="0.2">
      <c r="B67" t="s">
        <v>33</v>
      </c>
      <c r="C67">
        <f>STDEV(C2:C64)</f>
        <v>0.15963452916968118</v>
      </c>
      <c r="D67">
        <f t="shared" ref="D67:P67" si="1">STDEV(D2:D64)</f>
        <v>0.19839437078568284</v>
      </c>
      <c r="E67">
        <f t="shared" si="1"/>
        <v>0.14116644180128152</v>
      </c>
      <c r="F67">
        <f t="shared" si="1"/>
        <v>0.26560887519564036</v>
      </c>
      <c r="G67">
        <f t="shared" si="1"/>
        <v>0.19000428677083955</v>
      </c>
      <c r="H67">
        <f t="shared" si="1"/>
        <v>0.20879911045151903</v>
      </c>
      <c r="I67">
        <f t="shared" si="1"/>
        <v>0.17942788004439217</v>
      </c>
      <c r="J67">
        <f t="shared" si="1"/>
        <v>0.17263655701864672</v>
      </c>
      <c r="K67">
        <f t="shared" si="1"/>
        <v>0.22317416490307368</v>
      </c>
      <c r="L67">
        <f t="shared" si="1"/>
        <v>0.26859725559708486</v>
      </c>
      <c r="M67">
        <f t="shared" si="1"/>
        <v>0.26560887519564036</v>
      </c>
      <c r="N67">
        <f t="shared" si="1"/>
        <v>0.23729805139767296</v>
      </c>
      <c r="O67">
        <f t="shared" si="1"/>
        <v>0.2639507560377567</v>
      </c>
      <c r="P67">
        <f t="shared" si="1"/>
        <v>0.22422697911224318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PA_F427Y_correlation_summary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2025-09-18T15:11:18Z</dcterms:created>
  <dcterms:modified xsi:type="dcterms:W3CDTF">2025-09-18T15:11:18Z</dcterms:modified>
</cp:coreProperties>
</file>