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guesthost_kinetic_analysis/docs/"/>
    </mc:Choice>
  </mc:AlternateContent>
  <xr:revisionPtr revIDLastSave="0" documentId="13_ncr:1_{654B83F0-8270-ED41-9B09-0BE2CBD7A13F}" xr6:coauthVersionLast="47" xr6:coauthVersionMax="47" xr10:uidLastSave="{00000000-0000-0000-0000-000000000000}"/>
  <bookViews>
    <workbookView xWindow="2160" yWindow="760" windowWidth="28040" windowHeight="17440" activeTab="6" xr2:uid="{1D359435-4368-7C47-A722-897ACB17A4DB}"/>
  </bookViews>
  <sheets>
    <sheet name="Tanford_scale" sheetId="9" r:id="rId1"/>
    <sheet name="Song-transfer_energies" sheetId="7" r:id="rId2"/>
    <sheet name="Krantz_scale" sheetId="10" r:id="rId3"/>
    <sheet name="hydrophobicity" sheetId="1" r:id="rId4"/>
    <sheet name="mol_wt" sheetId="2" r:id="rId5"/>
    <sheet name="aromaticity" sheetId="3" r:id="rId6"/>
    <sheet name="combine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" i="10"/>
</calcChain>
</file>

<file path=xl/sharedStrings.xml><?xml version="1.0" encoding="utf-8"?>
<sst xmlns="http://schemas.openxmlformats.org/spreadsheetml/2006/main" count="606" uniqueCount="212">
  <si>
    <t>Kyte-Doolittle</t>
  </si>
  <si>
    <t>Hopp-Woods</t>
  </si>
  <si>
    <t>Cornette</t>
  </si>
  <si>
    <t>Eisenberg</t>
  </si>
  <si>
    <t>Rose</t>
  </si>
  <si>
    <t>Janin</t>
  </si>
  <si>
    <t>A</t>
  </si>
  <si>
    <t>Alanine</t>
  </si>
  <si>
    <t>C</t>
  </si>
  <si>
    <t>Cysteine</t>
  </si>
  <si>
    <t>D</t>
  </si>
  <si>
    <t>E</t>
  </si>
  <si>
    <t>F</t>
  </si>
  <si>
    <t>Phenylalanine</t>
  </si>
  <si>
    <t>G</t>
  </si>
  <si>
    <t>Glycine</t>
  </si>
  <si>
    <t>H</t>
  </si>
  <si>
    <t>Histidine</t>
  </si>
  <si>
    <t>I</t>
  </si>
  <si>
    <t>Isoleucine</t>
  </si>
  <si>
    <t>K</t>
  </si>
  <si>
    <t>Lysine</t>
  </si>
  <si>
    <t>L</t>
  </si>
  <si>
    <t>Leucine</t>
  </si>
  <si>
    <t>M</t>
  </si>
  <si>
    <t>Methionine</t>
  </si>
  <si>
    <t>N</t>
  </si>
  <si>
    <t>Asparagine</t>
  </si>
  <si>
    <t>P</t>
  </si>
  <si>
    <t>Proline</t>
  </si>
  <si>
    <t>Q</t>
  </si>
  <si>
    <t>Glutamine</t>
  </si>
  <si>
    <t>R</t>
  </si>
  <si>
    <t>Arginine</t>
  </si>
  <si>
    <t>S</t>
  </si>
  <si>
    <t>Serine</t>
  </si>
  <si>
    <t>T</t>
  </si>
  <si>
    <t>Threonine</t>
  </si>
  <si>
    <t>V</t>
  </si>
  <si>
    <t>Valine</t>
  </si>
  <si>
    <t>W</t>
  </si>
  <si>
    <t>Tryptophan</t>
  </si>
  <si>
    <t>Y</t>
  </si>
  <si>
    <t>Tyrosine</t>
  </si>
  <si>
    <t>1-letter</t>
  </si>
  <si>
    <t>3-letter</t>
  </si>
  <si>
    <t>residue</t>
  </si>
  <si>
    <t>Ala</t>
  </si>
  <si>
    <t>Cys</t>
  </si>
  <si>
    <t>Asp</t>
  </si>
  <si>
    <t>Glu</t>
  </si>
  <si>
    <t>Phe</t>
  </si>
  <si>
    <t>Gly</t>
  </si>
  <si>
    <t>His</t>
  </si>
  <si>
    <t>Ile</t>
  </si>
  <si>
    <t>Lys</t>
  </si>
  <si>
    <t>Leu</t>
  </si>
  <si>
    <t>Met</t>
  </si>
  <si>
    <t>Pro</t>
  </si>
  <si>
    <t>Arg</t>
  </si>
  <si>
    <t>Ser</t>
  </si>
  <si>
    <t>Thr</t>
  </si>
  <si>
    <t>Val</t>
  </si>
  <si>
    <t>Trp</t>
  </si>
  <si>
    <t>Tyr</t>
  </si>
  <si>
    <t>Aspartate</t>
  </si>
  <si>
    <t>Glutamate</t>
  </si>
  <si>
    <t>mol_wt</t>
  </si>
  <si>
    <t>aromaticity</t>
  </si>
  <si>
    <t>Engelman_GES</t>
  </si>
  <si>
    <t>Song</t>
  </si>
  <si>
    <t>Tanford</t>
  </si>
  <si>
    <t>Asn</t>
  </si>
  <si>
    <t>Aspartic acid</t>
  </si>
  <si>
    <t>Glutamic acid</t>
  </si>
  <si>
    <t>num_rings</t>
  </si>
  <si>
    <t>compound</t>
  </si>
  <si>
    <t>C3H7NO2</t>
  </si>
  <si>
    <t>formula</t>
  </si>
  <si>
    <t>pubchem_id</t>
  </si>
  <si>
    <t>C[C@@H](C(=O)O)N</t>
  </si>
  <si>
    <t>smiles</t>
  </si>
  <si>
    <t>cas</t>
  </si>
  <si>
    <t>56-41-7</t>
  </si>
  <si>
    <t>C3H7NO2S</t>
  </si>
  <si>
    <t>52-90-4</t>
  </si>
  <si>
    <t>C([C@@H](C(=O)O)N)S</t>
  </si>
  <si>
    <t>C4H7NO4</t>
  </si>
  <si>
    <t>L-aspartic acid</t>
  </si>
  <si>
    <t>56-84-8</t>
  </si>
  <si>
    <t>C([C@@H](C(=O)O)N)C(=O)O</t>
  </si>
  <si>
    <t>L-cysteine</t>
  </si>
  <si>
    <t>L-alanine</t>
  </si>
  <si>
    <t>C5H9NO4</t>
  </si>
  <si>
    <t>L-glutamic acid</t>
  </si>
  <si>
    <t>56-86-0</t>
  </si>
  <si>
    <t>C(CC(=O)O)[C@@H](C(=O)O)N</t>
  </si>
  <si>
    <t>C9H11NO2</t>
  </si>
  <si>
    <t>L-phenylalanine</t>
  </si>
  <si>
    <t>63-91-2</t>
  </si>
  <si>
    <t>C1=CC=C(C=C1)C[C@@H](C(=O)O)N</t>
  </si>
  <si>
    <t>C2H5NO2</t>
  </si>
  <si>
    <t>glycine</t>
  </si>
  <si>
    <t>56-40-6</t>
  </si>
  <si>
    <t>C(C(=O)O)N</t>
  </si>
  <si>
    <t>C6H9N3O2</t>
  </si>
  <si>
    <t>71-00-1</t>
  </si>
  <si>
    <t>C1=C(NC=N1)C[C@@H](C(=O)O)N</t>
  </si>
  <si>
    <t>L-histidine</t>
  </si>
  <si>
    <t>C6H13NO2</t>
  </si>
  <si>
    <t>l-isoleucine</t>
  </si>
  <si>
    <t>73-32-5</t>
  </si>
  <si>
    <t>CC[C@H](C)[C@@H](C(=O)O)N</t>
  </si>
  <si>
    <t>C6H14N2O2</t>
  </si>
  <si>
    <t>L-lysine</t>
  </si>
  <si>
    <t>56-87-1</t>
  </si>
  <si>
    <t>C(CCN)C[C@@H](C(=O)O)N</t>
  </si>
  <si>
    <t>L-leucine</t>
  </si>
  <si>
    <t>61-90-5</t>
  </si>
  <si>
    <t>CC(C)C[C@@H](C(=O)O)N</t>
  </si>
  <si>
    <t>C5H11NO2S</t>
  </si>
  <si>
    <t>L-methionine</t>
  </si>
  <si>
    <t>63-68-3</t>
  </si>
  <si>
    <t>CSCC[C@@H](C(=O)O)N</t>
  </si>
  <si>
    <t>C4H8N2O3</t>
  </si>
  <si>
    <t>L-asparagine</t>
  </si>
  <si>
    <t>70-47-3</t>
  </si>
  <si>
    <t>C([C@@H](C(=O)O)N)C(=O)N</t>
  </si>
  <si>
    <t>C5H9NO2</t>
  </si>
  <si>
    <t>L-proline</t>
  </si>
  <si>
    <t>147-85-3</t>
  </si>
  <si>
    <t>C1C[C@H](NC1)C(=O)O</t>
  </si>
  <si>
    <t>C5H10N2O3</t>
  </si>
  <si>
    <t>L-glutamine</t>
  </si>
  <si>
    <t>56-85-9</t>
  </si>
  <si>
    <t>C(CC(=O)N)[C@@H](C(=O)O)N</t>
  </si>
  <si>
    <t>pdb</t>
  </si>
  <si>
    <t>C6H14N4O2</t>
  </si>
  <si>
    <t>L-arginine</t>
  </si>
  <si>
    <t>74-79-3</t>
  </si>
  <si>
    <t>C(C[C@@H](C(=O)O)N)CN=C(N)N</t>
  </si>
  <si>
    <t>C3H7NO3</t>
  </si>
  <si>
    <t>L-serine</t>
  </si>
  <si>
    <t>56-45-1</t>
  </si>
  <si>
    <t>C([C@@H](C(=O)O)N)O</t>
  </si>
  <si>
    <t>C4H9NO3</t>
  </si>
  <si>
    <t>L-threonine</t>
  </si>
  <si>
    <t>72-19-5</t>
  </si>
  <si>
    <t>C[C@H]([C@@H](C(=O)O)N)O</t>
  </si>
  <si>
    <t>C5H11NO2</t>
  </si>
  <si>
    <t>L-valine</t>
  </si>
  <si>
    <t>72-18-4</t>
  </si>
  <si>
    <t>CC(C)[C@@H](C(=O)O)N</t>
  </si>
  <si>
    <t>C11H12N2O2</t>
  </si>
  <si>
    <t>L-tryptophan</t>
  </si>
  <si>
    <t>73-22-3</t>
  </si>
  <si>
    <t>C1=CC=C2C(=C1)C(=CN2)C[C@@H](C(=O)O)N</t>
  </si>
  <si>
    <t>C9H11NO3</t>
  </si>
  <si>
    <t>L-tyrosine</t>
  </si>
  <si>
    <t>60-18-4</t>
  </si>
  <si>
    <t>C1=CC(=CC=C1C[C@@H](C(=O)O)N)O</t>
  </si>
  <si>
    <t>asp_data</t>
  </si>
  <si>
    <t xml:space="preserve"> C_aliphatic_area</t>
  </si>
  <si>
    <t xml:space="preserve"> C_aromatic_area</t>
  </si>
  <si>
    <t xml:space="preserve"> N_non_charged_area</t>
  </si>
  <si>
    <t xml:space="preserve"> N_charged_area</t>
  </si>
  <si>
    <t xml:space="preserve"> O_non_charged_area</t>
  </si>
  <si>
    <t xml:space="preserve"> O_charged_area</t>
  </si>
  <si>
    <t xml:space="preserve"> S_area</t>
  </si>
  <si>
    <t xml:space="preserve"> total_energy</t>
  </si>
  <si>
    <t>Krantz</t>
  </si>
  <si>
    <t>Ala.pdb</t>
  </si>
  <si>
    <t>Ala.pdb.txt</t>
  </si>
  <si>
    <t>Cys.pdb</t>
  </si>
  <si>
    <t>Cys.pdb.txt</t>
  </si>
  <si>
    <t>Asp.pdb</t>
  </si>
  <si>
    <t>Asp.pdb.txt</t>
  </si>
  <si>
    <t>Glu.pdb</t>
  </si>
  <si>
    <t>Glu.pdb.txt</t>
  </si>
  <si>
    <t>Phe.pdb</t>
  </si>
  <si>
    <t>Phe.pdb.txt</t>
  </si>
  <si>
    <t>Gly.pdb</t>
  </si>
  <si>
    <t>Gly.pdb.txt</t>
  </si>
  <si>
    <t>His.pdb</t>
  </si>
  <si>
    <t>His.pdb.txt</t>
  </si>
  <si>
    <t>Ile.pdb</t>
  </si>
  <si>
    <t>Ile.pdb.txt</t>
  </si>
  <si>
    <t>Lys.pdb</t>
  </si>
  <si>
    <t>Lys.pdb.txt</t>
  </si>
  <si>
    <t>Leu.pdb</t>
  </si>
  <si>
    <t>Leu.pdb.txt</t>
  </si>
  <si>
    <t>Met.pdb</t>
  </si>
  <si>
    <t>Met.pdb.txt</t>
  </si>
  <si>
    <t>Asn.pdb</t>
  </si>
  <si>
    <t>Asn.pdb.txt</t>
  </si>
  <si>
    <t>Pro.pdb</t>
  </si>
  <si>
    <t>Pro.pdb.txt</t>
  </si>
  <si>
    <t>Gln.pdb</t>
  </si>
  <si>
    <t>Gln.pdb.txt</t>
  </si>
  <si>
    <t>Arg.pdb</t>
  </si>
  <si>
    <t>Arg.pdb.txt</t>
  </si>
  <si>
    <t>Ser.pdb</t>
  </si>
  <si>
    <t>Ser.pdb.txt</t>
  </si>
  <si>
    <t>Thr.pdb</t>
  </si>
  <si>
    <t>Thr.pdb.txt</t>
  </si>
  <si>
    <t>Val.pdb</t>
  </si>
  <si>
    <t>Val.pdb.txt</t>
  </si>
  <si>
    <t>Trp.pdb</t>
  </si>
  <si>
    <t>Trp.pdb.txt</t>
  </si>
  <si>
    <t>Tyr.pdb</t>
  </si>
  <si>
    <t>Tyr.pdb.txt</t>
  </si>
  <si>
    <t>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</si>
</sst>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  <font>
      <sz val="13"/>
      <color rgb="FF333333"/>
      <name val="Helvetica Neue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1"/>
      <color rgb="FF111827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9476-7896-BB49-8B3A-C8B2873ADE8B}">
  <dimension ref="A1:H21"/>
  <sheetViews>
    <sheetView workbookViewId="0">
      <selection activeCell="D1" sqref="D1:D1048576"/>
    </sheetView>
  </sheetViews>
  <sheetFormatPr baseColWidth="10" defaultRowHeight="16"/>
  <cols>
    <col min="3" max="3" width="12.1640625" bestFit="1" customWidth="1"/>
    <col min="8" max="8" width="12.1640625" bestFit="1" customWidth="1"/>
  </cols>
  <sheetData>
    <row r="1" spans="1:8">
      <c r="A1" s="1" t="s">
        <v>44</v>
      </c>
      <c r="B1" s="1" t="s">
        <v>45</v>
      </c>
      <c r="C1" s="1" t="s">
        <v>46</v>
      </c>
      <c r="D1" s="5" t="s">
        <v>71</v>
      </c>
      <c r="F1" s="4"/>
      <c r="G1" s="4"/>
      <c r="H1" s="4"/>
    </row>
    <row r="2" spans="1:8">
      <c r="A2" s="2" t="s">
        <v>6</v>
      </c>
      <c r="B2" s="2" t="s">
        <v>47</v>
      </c>
      <c r="C2" s="2" t="s">
        <v>7</v>
      </c>
      <c r="D2" s="4">
        <v>500</v>
      </c>
      <c r="F2" s="4"/>
      <c r="G2" s="4"/>
      <c r="H2" s="4"/>
    </row>
    <row r="3" spans="1:8">
      <c r="A3" s="2" t="s">
        <v>8</v>
      </c>
      <c r="B3" s="2" t="s">
        <v>48</v>
      </c>
      <c r="C3" s="2" t="s">
        <v>9</v>
      </c>
      <c r="D3" s="4"/>
      <c r="F3" s="4"/>
      <c r="G3" s="4"/>
      <c r="H3" s="4"/>
    </row>
    <row r="4" spans="1:8">
      <c r="A4" s="2" t="s">
        <v>10</v>
      </c>
      <c r="B4" s="2" t="s">
        <v>49</v>
      </c>
      <c r="C4" s="2" t="s">
        <v>65</v>
      </c>
    </row>
    <row r="5" spans="1:8">
      <c r="A5" s="2" t="s">
        <v>11</v>
      </c>
      <c r="B5" s="2" t="s">
        <v>50</v>
      </c>
      <c r="C5" s="2" t="s">
        <v>66</v>
      </c>
    </row>
    <row r="6" spans="1:8">
      <c r="A6" s="2" t="s">
        <v>12</v>
      </c>
      <c r="B6" s="2" t="s">
        <v>51</v>
      </c>
      <c r="C6" s="2" t="s">
        <v>13</v>
      </c>
      <c r="D6" s="4">
        <v>2500</v>
      </c>
      <c r="F6" s="4"/>
      <c r="G6" s="4"/>
      <c r="H6" s="4"/>
    </row>
    <row r="7" spans="1:8">
      <c r="A7" s="2" t="s">
        <v>14</v>
      </c>
      <c r="B7" s="2" t="s">
        <v>52</v>
      </c>
      <c r="C7" s="2" t="s">
        <v>15</v>
      </c>
    </row>
    <row r="8" spans="1:8">
      <c r="A8" s="2" t="s">
        <v>16</v>
      </c>
      <c r="B8" s="2" t="s">
        <v>53</v>
      </c>
      <c r="C8" s="2" t="s">
        <v>17</v>
      </c>
      <c r="D8" s="4">
        <v>500</v>
      </c>
      <c r="F8" s="4"/>
      <c r="G8" s="4"/>
      <c r="H8" s="4"/>
    </row>
    <row r="9" spans="1:8">
      <c r="A9" s="2" t="s">
        <v>18</v>
      </c>
      <c r="B9" s="2" t="s">
        <v>54</v>
      </c>
      <c r="C9" s="2" t="s">
        <v>19</v>
      </c>
    </row>
    <row r="10" spans="1:8">
      <c r="A10" s="2" t="s">
        <v>20</v>
      </c>
      <c r="B10" s="2" t="s">
        <v>55</v>
      </c>
      <c r="C10" s="2" t="s">
        <v>21</v>
      </c>
    </row>
    <row r="11" spans="1:8">
      <c r="A11" s="2" t="s">
        <v>22</v>
      </c>
      <c r="B11" s="2" t="s">
        <v>56</v>
      </c>
      <c r="C11" s="2" t="s">
        <v>23</v>
      </c>
      <c r="D11" s="4">
        <v>1800</v>
      </c>
      <c r="F11" s="4"/>
      <c r="G11" s="4"/>
      <c r="H11" s="4"/>
    </row>
    <row r="12" spans="1:8">
      <c r="A12" s="2" t="s">
        <v>24</v>
      </c>
      <c r="B12" s="2" t="s">
        <v>57</v>
      </c>
      <c r="C12" s="2" t="s">
        <v>25</v>
      </c>
      <c r="D12" s="4">
        <v>1300</v>
      </c>
      <c r="F12" s="4"/>
      <c r="G12" s="4"/>
      <c r="H12" s="4"/>
    </row>
    <row r="13" spans="1:8">
      <c r="A13" s="2" t="s">
        <v>26</v>
      </c>
      <c r="B13" s="2" t="s">
        <v>49</v>
      </c>
      <c r="C13" s="2" t="s">
        <v>27</v>
      </c>
    </row>
    <row r="14" spans="1:8">
      <c r="A14" s="2" t="s">
        <v>28</v>
      </c>
      <c r="B14" s="2" t="s">
        <v>58</v>
      </c>
      <c r="C14" s="2" t="s">
        <v>29</v>
      </c>
    </row>
    <row r="15" spans="1:8">
      <c r="A15" s="2" t="s">
        <v>30</v>
      </c>
      <c r="B15" s="2" t="s">
        <v>50</v>
      </c>
      <c r="C15" s="2" t="s">
        <v>31</v>
      </c>
    </row>
    <row r="16" spans="1:8">
      <c r="A16" s="2" t="s">
        <v>32</v>
      </c>
      <c r="B16" s="2" t="s">
        <v>59</v>
      </c>
      <c r="C16" s="2" t="s">
        <v>33</v>
      </c>
    </row>
    <row r="17" spans="1:8">
      <c r="A17" s="2" t="s">
        <v>34</v>
      </c>
      <c r="B17" s="2" t="s">
        <v>60</v>
      </c>
      <c r="C17" s="2" t="s">
        <v>35</v>
      </c>
      <c r="D17" s="4">
        <v>-300</v>
      </c>
      <c r="F17" s="4"/>
      <c r="G17" s="4"/>
      <c r="H17" s="4"/>
    </row>
    <row r="18" spans="1:8">
      <c r="A18" s="2" t="s">
        <v>36</v>
      </c>
      <c r="B18" s="2" t="s">
        <v>61</v>
      </c>
      <c r="C18" s="2" t="s">
        <v>37</v>
      </c>
      <c r="D18" s="4">
        <v>400</v>
      </c>
      <c r="F18" s="4"/>
      <c r="G18" s="4"/>
      <c r="H18" s="4"/>
    </row>
    <row r="19" spans="1:8">
      <c r="A19" s="2" t="s">
        <v>38</v>
      </c>
      <c r="B19" s="2" t="s">
        <v>62</v>
      </c>
      <c r="C19" s="2" t="s">
        <v>39</v>
      </c>
      <c r="D19" s="4">
        <v>1500</v>
      </c>
      <c r="F19" s="4"/>
      <c r="G19" s="4"/>
      <c r="H19" s="4"/>
    </row>
    <row r="20" spans="1:8">
      <c r="A20" s="2" t="s">
        <v>40</v>
      </c>
      <c r="B20" s="2" t="s">
        <v>63</v>
      </c>
      <c r="C20" s="2" t="s">
        <v>41</v>
      </c>
      <c r="D20" s="4">
        <v>3400</v>
      </c>
      <c r="F20" s="4"/>
      <c r="G20" s="4"/>
      <c r="H20" s="4"/>
    </row>
    <row r="21" spans="1:8">
      <c r="A21" s="2" t="s">
        <v>42</v>
      </c>
      <c r="B21" s="2" t="s">
        <v>64</v>
      </c>
      <c r="C21" s="2" t="s">
        <v>43</v>
      </c>
      <c r="D21" s="4">
        <v>2300</v>
      </c>
      <c r="F21" s="4"/>
      <c r="G21" s="4"/>
      <c r="H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A6D4-C7D6-2E40-AC73-68322CA9A1AD}">
  <dimension ref="A1:D21"/>
  <sheetViews>
    <sheetView workbookViewId="0">
      <selection activeCell="D1" sqref="D1:D1048576"/>
    </sheetView>
  </sheetViews>
  <sheetFormatPr baseColWidth="10" defaultRowHeight="16"/>
  <sheetData>
    <row r="1" spans="1:4">
      <c r="A1" s="1" t="s">
        <v>44</v>
      </c>
      <c r="B1" s="1" t="s">
        <v>45</v>
      </c>
      <c r="C1" s="1" t="s">
        <v>46</v>
      </c>
      <c r="D1" s="1" t="s">
        <v>70</v>
      </c>
    </row>
    <row r="2" spans="1:4" ht="17">
      <c r="A2" s="2" t="s">
        <v>6</v>
      </c>
      <c r="B2" s="2" t="s">
        <v>47</v>
      </c>
      <c r="C2" s="2" t="s">
        <v>7</v>
      </c>
      <c r="D2" s="3">
        <v>0.66500000000000004</v>
      </c>
    </row>
    <row r="3" spans="1:4" ht="17">
      <c r="A3" s="2" t="s">
        <v>8</v>
      </c>
      <c r="B3" s="2" t="s">
        <v>48</v>
      </c>
      <c r="C3" s="2" t="s">
        <v>9</v>
      </c>
      <c r="D3" s="3">
        <v>1.2849999999999999</v>
      </c>
    </row>
    <row r="4" spans="1:4" ht="17">
      <c r="A4" s="2" t="s">
        <v>10</v>
      </c>
      <c r="B4" s="2" t="s">
        <v>49</v>
      </c>
      <c r="C4" s="2" t="s">
        <v>73</v>
      </c>
      <c r="D4" s="3">
        <v>2.3889999999999998</v>
      </c>
    </row>
    <row r="5" spans="1:4" ht="17">
      <c r="A5" s="2" t="s">
        <v>11</v>
      </c>
      <c r="B5" s="2" t="s">
        <v>50</v>
      </c>
      <c r="C5" s="2" t="s">
        <v>74</v>
      </c>
      <c r="D5" s="3">
        <v>1.8959999999999999</v>
      </c>
    </row>
    <row r="6" spans="1:4" ht="17">
      <c r="A6" s="2" t="s">
        <v>12</v>
      </c>
      <c r="B6" s="2" t="s">
        <v>51</v>
      </c>
      <c r="C6" s="2" t="s">
        <v>13</v>
      </c>
      <c r="D6" s="3">
        <v>3.016</v>
      </c>
    </row>
    <row r="7" spans="1:4" ht="17">
      <c r="A7" s="2" t="s">
        <v>14</v>
      </c>
      <c r="B7" s="2" t="s">
        <v>52</v>
      </c>
      <c r="C7" s="2" t="s">
        <v>15</v>
      </c>
      <c r="D7" s="3">
        <v>0</v>
      </c>
    </row>
    <row r="8" spans="1:4" ht="17">
      <c r="A8" s="2" t="s">
        <v>16</v>
      </c>
      <c r="B8" s="2" t="s">
        <v>53</v>
      </c>
      <c r="C8" s="2" t="s">
        <v>17</v>
      </c>
      <c r="D8" s="3">
        <v>0.65800000000000003</v>
      </c>
    </row>
    <row r="9" spans="1:4" ht="17">
      <c r="A9" s="2" t="s">
        <v>18</v>
      </c>
      <c r="B9" s="2" t="s">
        <v>54</v>
      </c>
      <c r="C9" s="2" t="s">
        <v>19</v>
      </c>
      <c r="D9" s="3">
        <v>2.294</v>
      </c>
    </row>
    <row r="10" spans="1:4" ht="17">
      <c r="A10" s="2" t="s">
        <v>20</v>
      </c>
      <c r="B10" s="2" t="s">
        <v>55</v>
      </c>
      <c r="C10" s="2" t="s">
        <v>21</v>
      </c>
      <c r="D10" s="3">
        <v>1.236</v>
      </c>
    </row>
    <row r="11" spans="1:4" ht="17">
      <c r="A11" s="2" t="s">
        <v>22</v>
      </c>
      <c r="B11" s="2" t="s">
        <v>56</v>
      </c>
      <c r="C11" s="2" t="s">
        <v>23</v>
      </c>
      <c r="D11" s="3">
        <v>2.5499999999999998</v>
      </c>
    </row>
    <row r="12" spans="1:4" ht="17">
      <c r="A12" s="2" t="s">
        <v>24</v>
      </c>
      <c r="B12" s="2" t="s">
        <v>57</v>
      </c>
      <c r="C12" s="2" t="s">
        <v>25</v>
      </c>
      <c r="D12" s="3">
        <v>2.3239999999999998</v>
      </c>
    </row>
    <row r="13" spans="1:4" ht="17">
      <c r="A13" s="2" t="s">
        <v>26</v>
      </c>
      <c r="B13" s="2" t="s">
        <v>72</v>
      </c>
      <c r="C13" s="2" t="s">
        <v>27</v>
      </c>
      <c r="D13" s="3">
        <v>1.3580000000000001</v>
      </c>
    </row>
    <row r="14" spans="1:4" ht="17">
      <c r="A14" s="2" t="s">
        <v>28</v>
      </c>
      <c r="B14" s="2" t="s">
        <v>58</v>
      </c>
      <c r="C14" s="2" t="s">
        <v>29</v>
      </c>
      <c r="D14" s="3"/>
    </row>
    <row r="15" spans="1:4" ht="17">
      <c r="A15" s="2" t="s">
        <v>30</v>
      </c>
      <c r="B15" s="2" t="s">
        <v>50</v>
      </c>
      <c r="C15" s="2" t="s">
        <v>31</v>
      </c>
      <c r="D15" s="3">
        <v>0.20499999999999999</v>
      </c>
    </row>
    <row r="16" spans="1:4" ht="17">
      <c r="A16" s="2" t="s">
        <v>32</v>
      </c>
      <c r="B16" s="2" t="s">
        <v>59</v>
      </c>
      <c r="C16" s="2" t="s">
        <v>33</v>
      </c>
      <c r="D16" s="3">
        <v>0.624</v>
      </c>
    </row>
    <row r="17" spans="1:4" ht="17">
      <c r="A17" s="2" t="s">
        <v>34</v>
      </c>
      <c r="B17" s="2" t="s">
        <v>60</v>
      </c>
      <c r="C17" s="2" t="s">
        <v>35</v>
      </c>
      <c r="D17" s="3">
        <v>0.53300000000000003</v>
      </c>
    </row>
    <row r="18" spans="1:4" ht="17">
      <c r="A18" s="2" t="s">
        <v>36</v>
      </c>
      <c r="B18" s="2" t="s">
        <v>61</v>
      </c>
      <c r="C18" s="2" t="s">
        <v>37</v>
      </c>
      <c r="D18" s="3">
        <v>0.77400000000000002</v>
      </c>
    </row>
    <row r="19" spans="1:4" ht="17">
      <c r="A19" s="2" t="s">
        <v>38</v>
      </c>
      <c r="B19" s="2" t="s">
        <v>62</v>
      </c>
      <c r="C19" s="2" t="s">
        <v>39</v>
      </c>
      <c r="D19" s="3">
        <v>1.6850000000000001</v>
      </c>
    </row>
    <row r="20" spans="1:4" ht="17">
      <c r="A20" s="2" t="s">
        <v>40</v>
      </c>
      <c r="B20" s="2" t="s">
        <v>63</v>
      </c>
      <c r="C20" s="2" t="s">
        <v>41</v>
      </c>
      <c r="D20" s="3">
        <v>4.2699999999999996</v>
      </c>
    </row>
    <row r="21" spans="1:4" ht="17">
      <c r="A21" s="2" t="s">
        <v>42</v>
      </c>
      <c r="B21" s="2" t="s">
        <v>64</v>
      </c>
      <c r="C21" s="2" t="s">
        <v>43</v>
      </c>
      <c r="D21" s="3">
        <v>3.5760000000000001</v>
      </c>
    </row>
  </sheetData>
  <sortState xmlns:xlrd2="http://schemas.microsoft.com/office/spreadsheetml/2017/richdata2" ref="A2:D21">
    <sortCondition ref="A2:A21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8DA4-D3D2-4548-BA5E-ABB58D9DD3DD}">
  <dimension ref="A1:T21"/>
  <sheetViews>
    <sheetView topLeftCell="F1" workbookViewId="0">
      <selection activeCell="R2" sqref="R2:R21"/>
    </sheetView>
  </sheetViews>
  <sheetFormatPr baseColWidth="10" defaultRowHeight="16"/>
  <cols>
    <col min="3" max="3" width="12.33203125" bestFit="1" customWidth="1"/>
    <col min="4" max="4" width="13.1640625" bestFit="1" customWidth="1"/>
    <col min="5" max="5" width="12.5" bestFit="1" customWidth="1"/>
    <col min="6" max="7" width="13" customWidth="1"/>
    <col min="8" max="8" width="42.1640625" bestFit="1" customWidth="1"/>
    <col min="11" max="11" width="15.33203125" bestFit="1" customWidth="1"/>
    <col min="12" max="12" width="15.6640625" bestFit="1" customWidth="1"/>
    <col min="13" max="13" width="18.83203125" bestFit="1" customWidth="1"/>
    <col min="14" max="14" width="14.83203125" bestFit="1" customWidth="1"/>
    <col min="15" max="15" width="18.83203125" bestFit="1" customWidth="1"/>
    <col min="16" max="16" width="14.83203125" bestFit="1" customWidth="1"/>
  </cols>
  <sheetData>
    <row r="1" spans="1:20">
      <c r="A1" s="6" t="s">
        <v>44</v>
      </c>
      <c r="B1" s="6" t="s">
        <v>45</v>
      </c>
      <c r="C1" s="6" t="s">
        <v>46</v>
      </c>
      <c r="D1" s="6" t="s">
        <v>76</v>
      </c>
      <c r="E1" s="6" t="s">
        <v>78</v>
      </c>
      <c r="F1" s="6" t="s">
        <v>79</v>
      </c>
      <c r="G1" s="6" t="s">
        <v>82</v>
      </c>
      <c r="H1" s="6" t="s">
        <v>81</v>
      </c>
      <c r="I1" s="6" t="s">
        <v>136</v>
      </c>
      <c r="J1" s="6" t="s">
        <v>161</v>
      </c>
      <c r="K1" s="10" t="s">
        <v>162</v>
      </c>
      <c r="L1" s="10" t="s">
        <v>163</v>
      </c>
      <c r="M1" s="10" t="s">
        <v>164</v>
      </c>
      <c r="N1" s="10" t="s">
        <v>165</v>
      </c>
      <c r="O1" s="10" t="s">
        <v>166</v>
      </c>
      <c r="P1" s="10" t="s">
        <v>167</v>
      </c>
      <c r="Q1" s="10" t="s">
        <v>168</v>
      </c>
      <c r="R1" s="10" t="s">
        <v>169</v>
      </c>
      <c r="S1" s="10" t="s">
        <v>75</v>
      </c>
      <c r="T1" s="10" t="s">
        <v>170</v>
      </c>
    </row>
    <row r="2" spans="1:20">
      <c r="A2" s="7" t="s">
        <v>6</v>
      </c>
      <c r="B2" s="7" t="s">
        <v>47</v>
      </c>
      <c r="C2" s="7" t="s">
        <v>7</v>
      </c>
      <c r="D2" t="s">
        <v>92</v>
      </c>
      <c r="E2" t="s">
        <v>77</v>
      </c>
      <c r="F2">
        <v>5950</v>
      </c>
      <c r="G2" s="9" t="s">
        <v>83</v>
      </c>
      <c r="H2" s="9" t="s">
        <v>80</v>
      </c>
      <c r="I2" t="s">
        <v>171</v>
      </c>
      <c r="J2" t="s">
        <v>172</v>
      </c>
      <c r="K2">
        <v>131.74</v>
      </c>
      <c r="L2">
        <v>0</v>
      </c>
      <c r="M2">
        <v>38.61</v>
      </c>
      <c r="N2">
        <v>0</v>
      </c>
      <c r="O2">
        <v>44.55</v>
      </c>
      <c r="P2">
        <v>0</v>
      </c>
      <c r="Q2">
        <v>0</v>
      </c>
      <c r="R2">
        <v>-2065.86</v>
      </c>
      <c r="S2" s="2">
        <v>0</v>
      </c>
      <c r="T2">
        <f>R2/1000+S2*0.7</f>
        <v>-2.0658600000000003</v>
      </c>
    </row>
    <row r="3" spans="1:20">
      <c r="A3" s="7" t="s">
        <v>8</v>
      </c>
      <c r="B3" s="7" t="s">
        <v>48</v>
      </c>
      <c r="C3" s="7" t="s">
        <v>9</v>
      </c>
      <c r="D3" s="7" t="s">
        <v>91</v>
      </c>
      <c r="E3" t="s">
        <v>84</v>
      </c>
      <c r="F3">
        <v>5862</v>
      </c>
      <c r="G3" t="s">
        <v>85</v>
      </c>
      <c r="H3" t="s">
        <v>86</v>
      </c>
      <c r="I3" t="s">
        <v>173</v>
      </c>
      <c r="J3" t="s">
        <v>174</v>
      </c>
      <c r="K3">
        <v>90.38</v>
      </c>
      <c r="L3">
        <v>0</v>
      </c>
      <c r="M3">
        <v>36.03</v>
      </c>
      <c r="N3">
        <v>0</v>
      </c>
      <c r="O3">
        <v>44.55</v>
      </c>
      <c r="P3">
        <v>0</v>
      </c>
      <c r="Q3">
        <v>72.540000000000006</v>
      </c>
      <c r="R3">
        <v>-1163.1600000000001</v>
      </c>
      <c r="S3" s="2">
        <v>0</v>
      </c>
      <c r="T3">
        <f t="shared" ref="T3:T21" si="0">R3/1000+S3*0.7</f>
        <v>-1.16316</v>
      </c>
    </row>
    <row r="4" spans="1:20">
      <c r="A4" s="7" t="s">
        <v>10</v>
      </c>
      <c r="B4" s="7" t="s">
        <v>49</v>
      </c>
      <c r="C4" s="7" t="s">
        <v>65</v>
      </c>
      <c r="D4" t="s">
        <v>88</v>
      </c>
      <c r="E4" t="s">
        <v>87</v>
      </c>
      <c r="F4">
        <v>5960</v>
      </c>
      <c r="G4" t="s">
        <v>89</v>
      </c>
      <c r="H4" t="s">
        <v>90</v>
      </c>
      <c r="I4" t="s">
        <v>175</v>
      </c>
      <c r="J4" t="s">
        <v>176</v>
      </c>
      <c r="K4">
        <v>90.23</v>
      </c>
      <c r="L4">
        <v>0</v>
      </c>
      <c r="M4">
        <v>36.01</v>
      </c>
      <c r="N4">
        <v>0</v>
      </c>
      <c r="O4">
        <v>89.58</v>
      </c>
      <c r="P4">
        <v>35.99</v>
      </c>
      <c r="Q4">
        <v>0</v>
      </c>
      <c r="R4">
        <v>-9114.92</v>
      </c>
      <c r="S4" s="2">
        <v>0</v>
      </c>
      <c r="T4">
        <f t="shared" si="0"/>
        <v>-9.1149199999999997</v>
      </c>
    </row>
    <row r="5" spans="1:20">
      <c r="A5" s="7" t="s">
        <v>11</v>
      </c>
      <c r="B5" s="7" t="s">
        <v>50</v>
      </c>
      <c r="C5" s="7" t="s">
        <v>66</v>
      </c>
      <c r="D5" t="s">
        <v>94</v>
      </c>
      <c r="E5" t="s">
        <v>93</v>
      </c>
      <c r="F5">
        <v>33032</v>
      </c>
      <c r="G5" t="s">
        <v>95</v>
      </c>
      <c r="H5" t="s">
        <v>96</v>
      </c>
      <c r="I5" t="s">
        <v>177</v>
      </c>
      <c r="J5" t="s">
        <v>178</v>
      </c>
      <c r="K5">
        <v>117.8</v>
      </c>
      <c r="L5">
        <v>0</v>
      </c>
      <c r="M5">
        <v>35.11</v>
      </c>
      <c r="N5">
        <v>0</v>
      </c>
      <c r="O5">
        <v>89.58</v>
      </c>
      <c r="P5">
        <v>37.340000000000003</v>
      </c>
      <c r="Q5">
        <v>0</v>
      </c>
      <c r="R5">
        <v>-8718.56</v>
      </c>
      <c r="S5" s="2">
        <v>0</v>
      </c>
      <c r="T5">
        <f t="shared" si="0"/>
        <v>-8.7185600000000001</v>
      </c>
    </row>
    <row r="6" spans="1:20">
      <c r="A6" s="7" t="s">
        <v>12</v>
      </c>
      <c r="B6" s="7" t="s">
        <v>51</v>
      </c>
      <c r="C6" s="7" t="s">
        <v>13</v>
      </c>
      <c r="D6" t="s">
        <v>98</v>
      </c>
      <c r="E6" t="s">
        <v>97</v>
      </c>
      <c r="F6">
        <v>6140</v>
      </c>
      <c r="G6" t="s">
        <v>99</v>
      </c>
      <c r="H6" t="s">
        <v>100</v>
      </c>
      <c r="I6" t="s">
        <v>179</v>
      </c>
      <c r="J6" t="s">
        <v>180</v>
      </c>
      <c r="K6">
        <v>76.97</v>
      </c>
      <c r="L6">
        <v>169</v>
      </c>
      <c r="M6">
        <v>32.76</v>
      </c>
      <c r="N6">
        <v>0</v>
      </c>
      <c r="O6">
        <v>44.55</v>
      </c>
      <c r="P6">
        <v>0</v>
      </c>
      <c r="Q6">
        <v>0</v>
      </c>
      <c r="R6">
        <v>-1418.92</v>
      </c>
      <c r="S6" s="2">
        <v>1</v>
      </c>
      <c r="T6">
        <f t="shared" si="0"/>
        <v>-0.71892000000000023</v>
      </c>
    </row>
    <row r="7" spans="1:20">
      <c r="A7" s="7" t="s">
        <v>14</v>
      </c>
      <c r="B7" s="7" t="s">
        <v>52</v>
      </c>
      <c r="C7" s="7" t="s">
        <v>15</v>
      </c>
      <c r="D7" t="s">
        <v>102</v>
      </c>
      <c r="E7" t="s">
        <v>101</v>
      </c>
      <c r="F7">
        <v>750</v>
      </c>
      <c r="G7" t="s">
        <v>103</v>
      </c>
      <c r="H7" t="s">
        <v>104</v>
      </c>
      <c r="I7" t="s">
        <v>181</v>
      </c>
      <c r="J7" t="s">
        <v>182</v>
      </c>
      <c r="K7">
        <v>65.400000000000006</v>
      </c>
      <c r="L7">
        <v>0</v>
      </c>
      <c r="M7">
        <v>40.71</v>
      </c>
      <c r="N7">
        <v>0</v>
      </c>
      <c r="O7">
        <v>28.08</v>
      </c>
      <c r="P7">
        <v>0</v>
      </c>
      <c r="Q7">
        <v>0</v>
      </c>
      <c r="R7">
        <v>-2405.52</v>
      </c>
      <c r="S7" s="2">
        <v>0</v>
      </c>
      <c r="T7">
        <f t="shared" si="0"/>
        <v>-2.4055200000000001</v>
      </c>
    </row>
    <row r="8" spans="1:20">
      <c r="A8" s="7" t="s">
        <v>16</v>
      </c>
      <c r="B8" s="7" t="s">
        <v>53</v>
      </c>
      <c r="C8" s="7" t="s">
        <v>17</v>
      </c>
      <c r="D8" t="s">
        <v>108</v>
      </c>
      <c r="E8" t="s">
        <v>105</v>
      </c>
      <c r="F8">
        <v>6274</v>
      </c>
      <c r="G8" t="s">
        <v>106</v>
      </c>
      <c r="H8" t="s">
        <v>107</v>
      </c>
      <c r="I8" t="s">
        <v>183</v>
      </c>
      <c r="J8" t="s">
        <v>184</v>
      </c>
      <c r="K8">
        <v>82.46</v>
      </c>
      <c r="L8">
        <v>104.65</v>
      </c>
      <c r="M8">
        <v>33.94</v>
      </c>
      <c r="N8">
        <v>13.55</v>
      </c>
      <c r="O8">
        <v>44.55</v>
      </c>
      <c r="P8">
        <v>0</v>
      </c>
      <c r="Q8">
        <v>0</v>
      </c>
      <c r="R8">
        <v>-3422.69</v>
      </c>
      <c r="S8" s="2">
        <v>1</v>
      </c>
      <c r="T8">
        <f t="shared" si="0"/>
        <v>-2.7226900000000001</v>
      </c>
    </row>
    <row r="9" spans="1:20">
      <c r="A9" s="7" t="s">
        <v>18</v>
      </c>
      <c r="B9" s="7" t="s">
        <v>54</v>
      </c>
      <c r="C9" s="7" t="s">
        <v>19</v>
      </c>
      <c r="D9" t="s">
        <v>110</v>
      </c>
      <c r="E9" t="s">
        <v>109</v>
      </c>
      <c r="F9">
        <v>6306</v>
      </c>
      <c r="G9" t="s">
        <v>111</v>
      </c>
      <c r="H9" t="s">
        <v>112</v>
      </c>
      <c r="I9" t="s">
        <v>185</v>
      </c>
      <c r="J9" t="s">
        <v>186</v>
      </c>
      <c r="K9">
        <v>211.06</v>
      </c>
      <c r="L9">
        <v>0</v>
      </c>
      <c r="M9">
        <v>34.57</v>
      </c>
      <c r="N9">
        <v>0</v>
      </c>
      <c r="O9">
        <v>44.56</v>
      </c>
      <c r="P9">
        <v>0</v>
      </c>
      <c r="Q9">
        <v>0</v>
      </c>
      <c r="R9">
        <v>-444.76</v>
      </c>
      <c r="S9" s="2">
        <v>0</v>
      </c>
      <c r="T9">
        <f t="shared" si="0"/>
        <v>-0.44475999999999999</v>
      </c>
    </row>
    <row r="10" spans="1:20">
      <c r="A10" s="7" t="s">
        <v>20</v>
      </c>
      <c r="B10" s="7" t="s">
        <v>55</v>
      </c>
      <c r="C10" s="7" t="s">
        <v>21</v>
      </c>
      <c r="D10" t="s">
        <v>114</v>
      </c>
      <c r="E10" t="s">
        <v>113</v>
      </c>
      <c r="F10">
        <v>5962</v>
      </c>
      <c r="G10" t="s">
        <v>115</v>
      </c>
      <c r="H10" t="s">
        <v>116</v>
      </c>
      <c r="I10" t="s">
        <v>187</v>
      </c>
      <c r="J10" t="s">
        <v>188</v>
      </c>
      <c r="K10">
        <v>195.03</v>
      </c>
      <c r="L10">
        <v>0</v>
      </c>
      <c r="M10">
        <v>19.649999999999999</v>
      </c>
      <c r="N10">
        <v>32.75</v>
      </c>
      <c r="O10">
        <v>32.78</v>
      </c>
      <c r="P10">
        <v>0</v>
      </c>
      <c r="Q10">
        <v>0</v>
      </c>
      <c r="R10">
        <v>-3034.65</v>
      </c>
      <c r="S10" s="2">
        <v>0</v>
      </c>
      <c r="T10">
        <f t="shared" si="0"/>
        <v>-3.0346500000000001</v>
      </c>
    </row>
    <row r="11" spans="1:20">
      <c r="A11" s="7" t="s">
        <v>22</v>
      </c>
      <c r="B11" s="7" t="s">
        <v>56</v>
      </c>
      <c r="C11" s="7" t="s">
        <v>23</v>
      </c>
      <c r="D11" t="s">
        <v>117</v>
      </c>
      <c r="E11" t="s">
        <v>109</v>
      </c>
      <c r="F11">
        <v>6106</v>
      </c>
      <c r="G11" t="s">
        <v>118</v>
      </c>
      <c r="H11" t="s">
        <v>119</v>
      </c>
      <c r="I11" t="s">
        <v>189</v>
      </c>
      <c r="J11" t="s">
        <v>190</v>
      </c>
      <c r="K11">
        <v>213.01</v>
      </c>
      <c r="L11">
        <v>0</v>
      </c>
      <c r="M11">
        <v>34.58</v>
      </c>
      <c r="N11">
        <v>0</v>
      </c>
      <c r="O11">
        <v>44.55</v>
      </c>
      <c r="P11">
        <v>0</v>
      </c>
      <c r="Q11">
        <v>0</v>
      </c>
      <c r="R11">
        <v>-409.56</v>
      </c>
      <c r="S11" s="2">
        <v>0</v>
      </c>
      <c r="T11">
        <f t="shared" si="0"/>
        <v>-0.40955999999999998</v>
      </c>
    </row>
    <row r="12" spans="1:20">
      <c r="A12" s="7" t="s">
        <v>24</v>
      </c>
      <c r="B12" s="7" t="s">
        <v>57</v>
      </c>
      <c r="C12" s="7" t="s">
        <v>25</v>
      </c>
      <c r="D12" t="s">
        <v>121</v>
      </c>
      <c r="E12" t="s">
        <v>120</v>
      </c>
      <c r="F12">
        <v>6137</v>
      </c>
      <c r="G12" t="s">
        <v>122</v>
      </c>
      <c r="H12" t="s">
        <v>123</v>
      </c>
      <c r="I12" t="s">
        <v>191</v>
      </c>
      <c r="J12" t="s">
        <v>192</v>
      </c>
      <c r="K12">
        <v>183.42</v>
      </c>
      <c r="L12">
        <v>0</v>
      </c>
      <c r="M12">
        <v>34.81</v>
      </c>
      <c r="N12">
        <v>0</v>
      </c>
      <c r="O12">
        <v>44.55</v>
      </c>
      <c r="P12">
        <v>0</v>
      </c>
      <c r="Q12">
        <v>34.99</v>
      </c>
      <c r="R12">
        <v>-218.43</v>
      </c>
      <c r="S12" s="2">
        <v>0</v>
      </c>
      <c r="T12">
        <f t="shared" si="0"/>
        <v>-0.21843000000000001</v>
      </c>
    </row>
    <row r="13" spans="1:20">
      <c r="A13" s="7" t="s">
        <v>26</v>
      </c>
      <c r="B13" s="7" t="s">
        <v>49</v>
      </c>
      <c r="C13" s="7" t="s">
        <v>27</v>
      </c>
      <c r="D13" t="s">
        <v>125</v>
      </c>
      <c r="E13" t="s">
        <v>124</v>
      </c>
      <c r="F13">
        <v>6267</v>
      </c>
      <c r="G13" t="s">
        <v>126</v>
      </c>
      <c r="H13" t="s">
        <v>127</v>
      </c>
      <c r="I13" t="s">
        <v>193</v>
      </c>
      <c r="J13" t="s">
        <v>194</v>
      </c>
      <c r="K13">
        <v>87.26</v>
      </c>
      <c r="L13">
        <v>0</v>
      </c>
      <c r="M13">
        <v>88.01</v>
      </c>
      <c r="N13">
        <v>0</v>
      </c>
      <c r="O13">
        <v>81.150000000000006</v>
      </c>
      <c r="P13">
        <v>0</v>
      </c>
      <c r="Q13">
        <v>0</v>
      </c>
      <c r="R13">
        <v>-7360.5</v>
      </c>
      <c r="S13" s="2">
        <v>0</v>
      </c>
      <c r="T13">
        <f t="shared" si="0"/>
        <v>-7.3605</v>
      </c>
    </row>
    <row r="14" spans="1:20">
      <c r="A14" s="7" t="s">
        <v>28</v>
      </c>
      <c r="B14" s="7" t="s">
        <v>58</v>
      </c>
      <c r="C14" s="7" t="s">
        <v>29</v>
      </c>
      <c r="D14" t="s">
        <v>129</v>
      </c>
      <c r="E14" t="s">
        <v>128</v>
      </c>
      <c r="F14">
        <v>145742</v>
      </c>
      <c r="G14" t="s">
        <v>130</v>
      </c>
      <c r="H14" t="s">
        <v>131</v>
      </c>
      <c r="I14" t="s">
        <v>195</v>
      </c>
      <c r="J14" t="s">
        <v>196</v>
      </c>
      <c r="K14">
        <v>195.16</v>
      </c>
      <c r="L14">
        <v>0</v>
      </c>
      <c r="M14">
        <v>0</v>
      </c>
      <c r="N14">
        <v>0</v>
      </c>
      <c r="O14">
        <v>42.38</v>
      </c>
      <c r="P14">
        <v>0</v>
      </c>
      <c r="Q14">
        <v>0</v>
      </c>
      <c r="R14">
        <v>1054.8399999999999</v>
      </c>
      <c r="S14" s="2">
        <v>0</v>
      </c>
      <c r="T14">
        <f t="shared" si="0"/>
        <v>1.05484</v>
      </c>
    </row>
    <row r="15" spans="1:20">
      <c r="A15" s="7" t="s">
        <v>30</v>
      </c>
      <c r="B15" s="7" t="s">
        <v>50</v>
      </c>
      <c r="C15" s="7" t="s">
        <v>31</v>
      </c>
      <c r="D15" t="s">
        <v>133</v>
      </c>
      <c r="E15" t="s">
        <v>132</v>
      </c>
      <c r="F15">
        <v>5961</v>
      </c>
      <c r="G15" t="s">
        <v>134</v>
      </c>
      <c r="H15" t="s">
        <v>135</v>
      </c>
      <c r="I15" t="s">
        <v>197</v>
      </c>
      <c r="J15" t="s">
        <v>198</v>
      </c>
      <c r="K15">
        <v>116.1</v>
      </c>
      <c r="L15">
        <v>0</v>
      </c>
      <c r="M15">
        <v>86.44</v>
      </c>
      <c r="N15">
        <v>0</v>
      </c>
      <c r="O15">
        <v>81.67</v>
      </c>
      <c r="P15">
        <v>0</v>
      </c>
      <c r="Q15">
        <v>0</v>
      </c>
      <c r="R15">
        <v>-6796.18</v>
      </c>
      <c r="S15" s="2">
        <v>0</v>
      </c>
      <c r="T15">
        <f t="shared" si="0"/>
        <v>-6.7961800000000006</v>
      </c>
    </row>
    <row r="16" spans="1:20">
      <c r="A16" s="7" t="s">
        <v>32</v>
      </c>
      <c r="B16" s="7" t="s">
        <v>59</v>
      </c>
      <c r="C16" s="7" t="s">
        <v>33</v>
      </c>
      <c r="D16" t="s">
        <v>138</v>
      </c>
      <c r="E16" t="s">
        <v>137</v>
      </c>
      <c r="F16">
        <v>6322</v>
      </c>
      <c r="G16" t="s">
        <v>139</v>
      </c>
      <c r="H16" t="s">
        <v>140</v>
      </c>
      <c r="I16" t="s">
        <v>199</v>
      </c>
      <c r="J16" t="s">
        <v>200</v>
      </c>
      <c r="K16">
        <v>166.7</v>
      </c>
      <c r="L16">
        <v>0</v>
      </c>
      <c r="M16">
        <v>87.97</v>
      </c>
      <c r="N16">
        <v>28.53</v>
      </c>
      <c r="O16">
        <v>31.68</v>
      </c>
      <c r="P16">
        <v>0</v>
      </c>
      <c r="Q16">
        <v>0</v>
      </c>
      <c r="R16">
        <v>-6283.29</v>
      </c>
      <c r="S16" s="2">
        <v>0</v>
      </c>
      <c r="T16">
        <f t="shared" si="0"/>
        <v>-6.28329</v>
      </c>
    </row>
    <row r="17" spans="1:20">
      <c r="A17" s="7" t="s">
        <v>34</v>
      </c>
      <c r="B17" s="7" t="s">
        <v>60</v>
      </c>
      <c r="C17" s="7" t="s">
        <v>35</v>
      </c>
      <c r="D17" t="s">
        <v>142</v>
      </c>
      <c r="E17" t="s">
        <v>141</v>
      </c>
      <c r="F17">
        <v>5951</v>
      </c>
      <c r="G17" t="s">
        <v>143</v>
      </c>
      <c r="H17" t="s">
        <v>144</v>
      </c>
      <c r="I17" t="s">
        <v>201</v>
      </c>
      <c r="J17" t="s">
        <v>202</v>
      </c>
      <c r="K17">
        <v>108.1</v>
      </c>
      <c r="L17">
        <v>0</v>
      </c>
      <c r="M17">
        <v>37.61</v>
      </c>
      <c r="N17">
        <v>0</v>
      </c>
      <c r="O17">
        <v>76.48</v>
      </c>
      <c r="P17">
        <v>0</v>
      </c>
      <c r="Q17">
        <v>0</v>
      </c>
      <c r="R17">
        <v>-4295.32</v>
      </c>
      <c r="S17" s="2">
        <v>0</v>
      </c>
      <c r="T17">
        <f t="shared" si="0"/>
        <v>-4.2953199999999994</v>
      </c>
    </row>
    <row r="18" spans="1:20">
      <c r="A18" s="7" t="s">
        <v>36</v>
      </c>
      <c r="B18" s="7" t="s">
        <v>61</v>
      </c>
      <c r="C18" s="7" t="s">
        <v>37</v>
      </c>
      <c r="D18" t="s">
        <v>146</v>
      </c>
      <c r="E18" t="s">
        <v>145</v>
      </c>
      <c r="F18">
        <v>6288</v>
      </c>
      <c r="G18" t="s">
        <v>147</v>
      </c>
      <c r="H18" t="s">
        <v>148</v>
      </c>
      <c r="I18" t="s">
        <v>203</v>
      </c>
      <c r="J18" t="s">
        <v>204</v>
      </c>
      <c r="K18">
        <v>141.49</v>
      </c>
      <c r="L18">
        <v>0</v>
      </c>
      <c r="M18">
        <v>32.9</v>
      </c>
      <c r="N18">
        <v>0</v>
      </c>
      <c r="O18">
        <v>73.94</v>
      </c>
      <c r="P18">
        <v>0</v>
      </c>
      <c r="Q18">
        <v>0</v>
      </c>
      <c r="R18">
        <v>-3320.9</v>
      </c>
      <c r="S18" s="2">
        <v>0</v>
      </c>
      <c r="T18">
        <f t="shared" si="0"/>
        <v>-3.3209</v>
      </c>
    </row>
    <row r="19" spans="1:20">
      <c r="A19" s="7" t="s">
        <v>38</v>
      </c>
      <c r="B19" s="7" t="s">
        <v>62</v>
      </c>
      <c r="C19" s="7" t="s">
        <v>39</v>
      </c>
      <c r="D19" t="s">
        <v>150</v>
      </c>
      <c r="E19" t="s">
        <v>149</v>
      </c>
      <c r="F19">
        <v>6287</v>
      </c>
      <c r="G19" t="s">
        <v>151</v>
      </c>
      <c r="H19" t="s">
        <v>152</v>
      </c>
      <c r="I19" t="s">
        <v>205</v>
      </c>
      <c r="J19" t="s">
        <v>206</v>
      </c>
      <c r="K19">
        <v>185.63</v>
      </c>
      <c r="L19">
        <v>0</v>
      </c>
      <c r="M19">
        <v>34.56</v>
      </c>
      <c r="N19">
        <v>0</v>
      </c>
      <c r="O19">
        <v>44.57</v>
      </c>
      <c r="P19">
        <v>0</v>
      </c>
      <c r="Q19">
        <v>0</v>
      </c>
      <c r="R19">
        <v>-902.6</v>
      </c>
      <c r="S19" s="2">
        <v>0</v>
      </c>
      <c r="T19">
        <f t="shared" si="0"/>
        <v>-0.90260000000000007</v>
      </c>
    </row>
    <row r="20" spans="1:20">
      <c r="A20" s="7" t="s">
        <v>40</v>
      </c>
      <c r="B20" s="7" t="s">
        <v>63</v>
      </c>
      <c r="C20" s="7" t="s">
        <v>41</v>
      </c>
      <c r="D20" t="s">
        <v>154</v>
      </c>
      <c r="E20" t="s">
        <v>153</v>
      </c>
      <c r="F20">
        <v>6305</v>
      </c>
      <c r="G20" t="s">
        <v>155</v>
      </c>
      <c r="H20" t="s">
        <v>156</v>
      </c>
      <c r="I20" t="s">
        <v>207</v>
      </c>
      <c r="J20" t="s">
        <v>208</v>
      </c>
      <c r="K20">
        <v>72.19</v>
      </c>
      <c r="L20">
        <v>192.41</v>
      </c>
      <c r="M20">
        <v>51.09</v>
      </c>
      <c r="N20">
        <v>0</v>
      </c>
      <c r="O20">
        <v>44.58</v>
      </c>
      <c r="P20">
        <v>0</v>
      </c>
      <c r="Q20">
        <v>0</v>
      </c>
      <c r="R20">
        <v>-2199.2600000000002</v>
      </c>
      <c r="S20" s="2">
        <v>2</v>
      </c>
      <c r="T20">
        <f t="shared" si="0"/>
        <v>-0.7992600000000003</v>
      </c>
    </row>
    <row r="21" spans="1:20">
      <c r="A21" s="7" t="s">
        <v>42</v>
      </c>
      <c r="B21" s="7" t="s">
        <v>64</v>
      </c>
      <c r="C21" s="7" t="s">
        <v>43</v>
      </c>
      <c r="D21" t="s">
        <v>158</v>
      </c>
      <c r="E21" t="s">
        <v>157</v>
      </c>
      <c r="F21">
        <v>6057</v>
      </c>
      <c r="G21" t="s">
        <v>159</v>
      </c>
      <c r="H21" t="s">
        <v>160</v>
      </c>
      <c r="I21" t="s">
        <v>209</v>
      </c>
      <c r="J21" t="s">
        <v>210</v>
      </c>
      <c r="K21">
        <v>78.12</v>
      </c>
      <c r="L21">
        <v>137.88999999999999</v>
      </c>
      <c r="M21">
        <v>31.48</v>
      </c>
      <c r="N21">
        <v>0</v>
      </c>
      <c r="O21">
        <v>84.73</v>
      </c>
      <c r="P21">
        <v>0</v>
      </c>
      <c r="Q21">
        <v>0</v>
      </c>
      <c r="R21">
        <v>-3916.1</v>
      </c>
      <c r="S21" s="2">
        <v>1</v>
      </c>
      <c r="T21">
        <f t="shared" si="0"/>
        <v>-3.2161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51E8-8342-C445-977D-8B4502CC8B3F}">
  <dimension ref="A1:L21"/>
  <sheetViews>
    <sheetView workbookViewId="0">
      <selection sqref="A1:C21"/>
    </sheetView>
  </sheetViews>
  <sheetFormatPr baseColWidth="10" defaultRowHeight="16"/>
  <cols>
    <col min="1" max="2" width="7.1640625" style="7" bestFit="1" customWidth="1"/>
    <col min="3" max="3" width="12.1640625" style="7" bestFit="1" customWidth="1"/>
    <col min="4" max="4" width="13" style="7" bestFit="1" customWidth="1"/>
    <col min="5" max="5" width="12.6640625" style="7" bestFit="1" customWidth="1"/>
    <col min="6" max="6" width="8.6640625" style="7" bestFit="1" customWidth="1"/>
    <col min="7" max="7" width="9.6640625" style="7" bestFit="1" customWidth="1"/>
    <col min="8" max="8" width="5.33203125" style="7" bestFit="1" customWidth="1"/>
    <col min="9" max="9" width="6" style="7" bestFit="1" customWidth="1"/>
    <col min="10" max="10" width="14.33203125" style="7" bestFit="1" customWidth="1"/>
    <col min="11" max="12" width="10.83203125" style="7"/>
  </cols>
  <sheetData>
    <row r="1" spans="1:12">
      <c r="A1" s="6" t="s">
        <v>44</v>
      </c>
      <c r="B1" s="6" t="s">
        <v>45</v>
      </c>
      <c r="C1" s="6" t="s">
        <v>46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69</v>
      </c>
      <c r="K1" s="6" t="s">
        <v>71</v>
      </c>
      <c r="L1" s="6" t="s">
        <v>70</v>
      </c>
    </row>
    <row r="2" spans="1:12">
      <c r="A2" s="7" t="s">
        <v>6</v>
      </c>
      <c r="B2" s="7" t="s">
        <v>47</v>
      </c>
      <c r="C2" s="7" t="s">
        <v>7</v>
      </c>
      <c r="D2" s="7">
        <v>1.8</v>
      </c>
      <c r="E2" s="7">
        <v>-0.5</v>
      </c>
      <c r="F2" s="7">
        <v>0.2</v>
      </c>
      <c r="G2" s="7">
        <v>0.62</v>
      </c>
      <c r="H2" s="7">
        <v>0.74</v>
      </c>
      <c r="I2" s="7">
        <v>0.3</v>
      </c>
      <c r="J2" s="7">
        <v>1.6</v>
      </c>
      <c r="K2" s="7">
        <v>500</v>
      </c>
      <c r="L2" s="8">
        <v>0.66500000000000004</v>
      </c>
    </row>
    <row r="3" spans="1:12">
      <c r="A3" s="7" t="s">
        <v>8</v>
      </c>
      <c r="B3" s="7" t="s">
        <v>48</v>
      </c>
      <c r="C3" s="7" t="s">
        <v>9</v>
      </c>
      <c r="D3" s="7">
        <v>2.5</v>
      </c>
      <c r="E3" s="7">
        <v>-1</v>
      </c>
      <c r="F3" s="7">
        <v>4.0999999999999996</v>
      </c>
      <c r="G3" s="7">
        <v>0.28999999999999998</v>
      </c>
      <c r="H3" s="7">
        <v>0.91</v>
      </c>
      <c r="I3" s="7">
        <v>0.9</v>
      </c>
      <c r="J3" s="7">
        <v>2</v>
      </c>
      <c r="L3" s="8">
        <v>1.2849999999999999</v>
      </c>
    </row>
    <row r="4" spans="1:12">
      <c r="A4" s="7" t="s">
        <v>10</v>
      </c>
      <c r="B4" s="7" t="s">
        <v>49</v>
      </c>
      <c r="C4" s="7" t="s">
        <v>65</v>
      </c>
      <c r="D4" s="7">
        <v>-3.5</v>
      </c>
      <c r="E4" s="7">
        <v>3</v>
      </c>
      <c r="F4" s="7">
        <v>-3.1</v>
      </c>
      <c r="G4" s="7">
        <v>-0.9</v>
      </c>
      <c r="H4" s="7">
        <v>0.62</v>
      </c>
      <c r="I4" s="7">
        <v>-0.6</v>
      </c>
      <c r="J4" s="7">
        <v>-9.1999999999999993</v>
      </c>
      <c r="L4" s="8">
        <v>2.3889999999999998</v>
      </c>
    </row>
    <row r="5" spans="1:12">
      <c r="A5" s="7" t="s">
        <v>11</v>
      </c>
      <c r="B5" s="7" t="s">
        <v>50</v>
      </c>
      <c r="C5" s="7" t="s">
        <v>66</v>
      </c>
      <c r="D5" s="7">
        <v>-3.5</v>
      </c>
      <c r="E5" s="7">
        <v>3</v>
      </c>
      <c r="F5" s="7">
        <v>-1.8</v>
      </c>
      <c r="G5" s="7">
        <v>-0.74</v>
      </c>
      <c r="H5" s="7">
        <v>0.62</v>
      </c>
      <c r="I5" s="7">
        <v>-0.7</v>
      </c>
      <c r="J5" s="7">
        <v>-8.1999999999999993</v>
      </c>
      <c r="L5" s="8">
        <v>1.8959999999999999</v>
      </c>
    </row>
    <row r="6" spans="1:12">
      <c r="A6" s="7" t="s">
        <v>12</v>
      </c>
      <c r="B6" s="7" t="s">
        <v>51</v>
      </c>
      <c r="C6" s="7" t="s">
        <v>13</v>
      </c>
      <c r="D6" s="7">
        <v>2.8</v>
      </c>
      <c r="E6" s="7">
        <v>-2.5</v>
      </c>
      <c r="F6" s="7">
        <v>4.4000000000000004</v>
      </c>
      <c r="G6" s="7">
        <v>1.19</v>
      </c>
      <c r="H6" s="7">
        <v>0.88</v>
      </c>
      <c r="I6" s="7">
        <v>0.5</v>
      </c>
      <c r="J6" s="7">
        <v>3.7</v>
      </c>
      <c r="K6" s="7">
        <v>2500</v>
      </c>
      <c r="L6" s="8">
        <v>3.016</v>
      </c>
    </row>
    <row r="7" spans="1:12">
      <c r="A7" s="7" t="s">
        <v>14</v>
      </c>
      <c r="B7" s="7" t="s">
        <v>52</v>
      </c>
      <c r="C7" s="7" t="s">
        <v>15</v>
      </c>
      <c r="D7" s="7">
        <v>-0.4</v>
      </c>
      <c r="E7" s="7">
        <v>0</v>
      </c>
      <c r="F7" s="7">
        <v>0</v>
      </c>
      <c r="G7" s="7">
        <v>0.48</v>
      </c>
      <c r="H7" s="7">
        <v>0.72</v>
      </c>
      <c r="I7" s="7">
        <v>0.3</v>
      </c>
      <c r="J7" s="7">
        <v>1</v>
      </c>
      <c r="L7" s="8">
        <v>0</v>
      </c>
    </row>
    <row r="8" spans="1:12">
      <c r="A8" s="7" t="s">
        <v>16</v>
      </c>
      <c r="B8" s="7" t="s">
        <v>53</v>
      </c>
      <c r="C8" s="7" t="s">
        <v>17</v>
      </c>
      <c r="D8" s="7">
        <v>-3.2</v>
      </c>
      <c r="E8" s="7">
        <v>-0.5</v>
      </c>
      <c r="F8" s="7">
        <v>0.5</v>
      </c>
      <c r="G8" s="7">
        <v>-0.4</v>
      </c>
      <c r="H8" s="7">
        <v>0.78</v>
      </c>
      <c r="I8" s="7">
        <v>-0.1</v>
      </c>
      <c r="J8" s="7">
        <v>-3</v>
      </c>
      <c r="K8" s="7">
        <v>500</v>
      </c>
      <c r="L8" s="8">
        <v>0.65800000000000003</v>
      </c>
    </row>
    <row r="9" spans="1:12">
      <c r="A9" s="7" t="s">
        <v>18</v>
      </c>
      <c r="B9" s="7" t="s">
        <v>54</v>
      </c>
      <c r="C9" s="7" t="s">
        <v>19</v>
      </c>
      <c r="D9" s="7">
        <v>4.5</v>
      </c>
      <c r="E9" s="7">
        <v>-1.8</v>
      </c>
      <c r="F9" s="7">
        <v>4.8</v>
      </c>
      <c r="G9" s="7">
        <v>1.38</v>
      </c>
      <c r="H9" s="7">
        <v>0.88</v>
      </c>
      <c r="I9" s="7">
        <v>0.7</v>
      </c>
      <c r="J9" s="7">
        <v>3.1</v>
      </c>
      <c r="L9" s="8">
        <v>2.294</v>
      </c>
    </row>
    <row r="10" spans="1:12">
      <c r="A10" s="7" t="s">
        <v>20</v>
      </c>
      <c r="B10" s="7" t="s">
        <v>55</v>
      </c>
      <c r="C10" s="7" t="s">
        <v>21</v>
      </c>
      <c r="D10" s="7">
        <v>-3.9</v>
      </c>
      <c r="E10" s="7">
        <v>3</v>
      </c>
      <c r="F10" s="7">
        <v>-3.1</v>
      </c>
      <c r="G10" s="7">
        <v>-1.5</v>
      </c>
      <c r="H10" s="7">
        <v>0.52</v>
      </c>
      <c r="I10" s="7">
        <v>-1.8</v>
      </c>
      <c r="J10" s="7">
        <v>-8.8000000000000007</v>
      </c>
      <c r="L10" s="8">
        <v>1.236</v>
      </c>
    </row>
    <row r="11" spans="1:12">
      <c r="A11" s="7" t="s">
        <v>22</v>
      </c>
      <c r="B11" s="7" t="s">
        <v>56</v>
      </c>
      <c r="C11" s="7" t="s">
        <v>23</v>
      </c>
      <c r="D11" s="7">
        <v>3.8</v>
      </c>
      <c r="E11" s="7">
        <v>-1.8</v>
      </c>
      <c r="F11" s="7">
        <v>5.7</v>
      </c>
      <c r="G11" s="7">
        <v>1.06</v>
      </c>
      <c r="H11" s="7">
        <v>0.85</v>
      </c>
      <c r="I11" s="7">
        <v>0.5</v>
      </c>
      <c r="J11" s="7">
        <v>2.8</v>
      </c>
      <c r="K11" s="7">
        <v>1800</v>
      </c>
      <c r="L11" s="8">
        <v>2.5499999999999998</v>
      </c>
    </row>
    <row r="12" spans="1:12">
      <c r="A12" s="7" t="s">
        <v>24</v>
      </c>
      <c r="B12" s="7" t="s">
        <v>57</v>
      </c>
      <c r="C12" s="7" t="s">
        <v>25</v>
      </c>
      <c r="D12" s="7">
        <v>1.9</v>
      </c>
      <c r="E12" s="7">
        <v>-1.3</v>
      </c>
      <c r="F12" s="7">
        <v>4.2</v>
      </c>
      <c r="G12" s="7">
        <v>0.64</v>
      </c>
      <c r="H12" s="7">
        <v>0.85</v>
      </c>
      <c r="I12" s="7">
        <v>0.4</v>
      </c>
      <c r="J12" s="7">
        <v>3.4</v>
      </c>
      <c r="K12" s="7">
        <v>1300</v>
      </c>
      <c r="L12" s="8">
        <v>2.3239999999999998</v>
      </c>
    </row>
    <row r="13" spans="1:12">
      <c r="A13" s="7" t="s">
        <v>26</v>
      </c>
      <c r="B13" s="7" t="s">
        <v>49</v>
      </c>
      <c r="C13" s="7" t="s">
        <v>27</v>
      </c>
      <c r="D13" s="7">
        <v>-3.5</v>
      </c>
      <c r="E13" s="7">
        <v>0.2</v>
      </c>
      <c r="F13" s="7">
        <v>-0.5</v>
      </c>
      <c r="G13" s="7">
        <v>-0.78</v>
      </c>
      <c r="H13" s="7">
        <v>0.63</v>
      </c>
      <c r="I13" s="7">
        <v>-0.5</v>
      </c>
      <c r="J13" s="7">
        <v>-4.8</v>
      </c>
      <c r="L13" s="8">
        <v>1.3580000000000001</v>
      </c>
    </row>
    <row r="14" spans="1:12">
      <c r="A14" s="7" t="s">
        <v>28</v>
      </c>
      <c r="B14" s="7" t="s">
        <v>58</v>
      </c>
      <c r="C14" s="7" t="s">
        <v>29</v>
      </c>
      <c r="D14" s="7">
        <v>-1.6</v>
      </c>
      <c r="E14" s="7">
        <v>0</v>
      </c>
      <c r="F14" s="7">
        <v>-2.2000000000000002</v>
      </c>
      <c r="G14" s="7">
        <v>0.12</v>
      </c>
      <c r="H14" s="7">
        <v>0.64</v>
      </c>
      <c r="I14" s="7">
        <v>-0.3</v>
      </c>
      <c r="J14" s="7">
        <v>-0.2</v>
      </c>
      <c r="L14" s="8"/>
    </row>
    <row r="15" spans="1:12">
      <c r="A15" s="7" t="s">
        <v>30</v>
      </c>
      <c r="B15" s="7" t="s">
        <v>50</v>
      </c>
      <c r="C15" s="7" t="s">
        <v>31</v>
      </c>
      <c r="D15" s="7">
        <v>-3.5</v>
      </c>
      <c r="E15" s="7">
        <v>0.2</v>
      </c>
      <c r="F15" s="7">
        <v>-2.8</v>
      </c>
      <c r="G15" s="7">
        <v>-0.85</v>
      </c>
      <c r="H15" s="7">
        <v>0.62</v>
      </c>
      <c r="I15" s="7">
        <v>-0.7</v>
      </c>
      <c r="J15" s="7">
        <v>-4.0999999999999996</v>
      </c>
      <c r="L15" s="8">
        <v>0.20499999999999999</v>
      </c>
    </row>
    <row r="16" spans="1:12">
      <c r="A16" s="7" t="s">
        <v>32</v>
      </c>
      <c r="B16" s="7" t="s">
        <v>59</v>
      </c>
      <c r="C16" s="7" t="s">
        <v>33</v>
      </c>
      <c r="D16" s="7">
        <v>-4.5</v>
      </c>
      <c r="E16" s="7">
        <v>3</v>
      </c>
      <c r="F16" s="7">
        <v>1.4</v>
      </c>
      <c r="G16" s="7">
        <v>-2.5299999999999998</v>
      </c>
      <c r="H16" s="7">
        <v>0.64</v>
      </c>
      <c r="I16" s="7">
        <v>-1.4</v>
      </c>
      <c r="J16" s="7">
        <v>-12.3</v>
      </c>
      <c r="L16" s="8">
        <v>0.624</v>
      </c>
    </row>
    <row r="17" spans="1:12">
      <c r="A17" s="7" t="s">
        <v>34</v>
      </c>
      <c r="B17" s="7" t="s">
        <v>60</v>
      </c>
      <c r="C17" s="7" t="s">
        <v>35</v>
      </c>
      <c r="D17" s="7">
        <v>-0.8</v>
      </c>
      <c r="E17" s="7">
        <v>0.3</v>
      </c>
      <c r="F17" s="7">
        <v>-0.5</v>
      </c>
      <c r="G17" s="7">
        <v>-0.18</v>
      </c>
      <c r="H17" s="7">
        <v>0.66</v>
      </c>
      <c r="I17" s="7">
        <v>-0.1</v>
      </c>
      <c r="J17" s="7">
        <v>0.6</v>
      </c>
      <c r="K17" s="7">
        <v>-300</v>
      </c>
      <c r="L17" s="8">
        <v>0.53300000000000003</v>
      </c>
    </row>
    <row r="18" spans="1:12">
      <c r="A18" s="7" t="s">
        <v>36</v>
      </c>
      <c r="B18" s="7" t="s">
        <v>61</v>
      </c>
      <c r="C18" s="7" t="s">
        <v>37</v>
      </c>
      <c r="D18" s="7">
        <v>-0.7</v>
      </c>
      <c r="E18" s="7">
        <v>-0.4</v>
      </c>
      <c r="F18" s="7">
        <v>-1.9</v>
      </c>
      <c r="G18" s="7">
        <v>-0.05</v>
      </c>
      <c r="H18" s="7">
        <v>0.7</v>
      </c>
      <c r="I18" s="7">
        <v>-0.2</v>
      </c>
      <c r="J18" s="7">
        <v>1.2</v>
      </c>
      <c r="K18" s="7">
        <v>400</v>
      </c>
      <c r="L18" s="8">
        <v>0.77400000000000002</v>
      </c>
    </row>
    <row r="19" spans="1:12">
      <c r="A19" s="7" t="s">
        <v>38</v>
      </c>
      <c r="B19" s="7" t="s">
        <v>62</v>
      </c>
      <c r="C19" s="7" t="s">
        <v>39</v>
      </c>
      <c r="D19" s="7">
        <v>4.2</v>
      </c>
      <c r="E19" s="7">
        <v>-1.5</v>
      </c>
      <c r="F19" s="7">
        <v>4.7</v>
      </c>
      <c r="G19" s="7">
        <v>1.08</v>
      </c>
      <c r="H19" s="7">
        <v>0.86</v>
      </c>
      <c r="I19" s="7">
        <v>0.6</v>
      </c>
      <c r="J19" s="7">
        <v>2.6</v>
      </c>
      <c r="K19" s="7">
        <v>1500</v>
      </c>
      <c r="L19" s="8">
        <v>1.6850000000000001</v>
      </c>
    </row>
    <row r="20" spans="1:12">
      <c r="A20" s="7" t="s">
        <v>40</v>
      </c>
      <c r="B20" s="7" t="s">
        <v>63</v>
      </c>
      <c r="C20" s="7" t="s">
        <v>41</v>
      </c>
      <c r="D20" s="7">
        <v>-0.9</v>
      </c>
      <c r="E20" s="7">
        <v>-3.4</v>
      </c>
      <c r="F20" s="7">
        <v>1</v>
      </c>
      <c r="G20" s="7">
        <v>0.81</v>
      </c>
      <c r="H20" s="7">
        <v>0.85</v>
      </c>
      <c r="I20" s="7">
        <v>0.3</v>
      </c>
      <c r="J20" s="7">
        <v>1.9</v>
      </c>
      <c r="K20" s="7">
        <v>3400</v>
      </c>
      <c r="L20" s="8">
        <v>4.2699999999999996</v>
      </c>
    </row>
    <row r="21" spans="1:12">
      <c r="A21" s="7" t="s">
        <v>42</v>
      </c>
      <c r="B21" s="7" t="s">
        <v>64</v>
      </c>
      <c r="C21" s="7" t="s">
        <v>43</v>
      </c>
      <c r="D21" s="7">
        <v>-1.3</v>
      </c>
      <c r="E21" s="7">
        <v>-2.2999999999999998</v>
      </c>
      <c r="F21" s="7">
        <v>3.2</v>
      </c>
      <c r="G21" s="7">
        <v>0.26</v>
      </c>
      <c r="H21" s="7">
        <v>0.76</v>
      </c>
      <c r="I21" s="7">
        <v>-0.4</v>
      </c>
      <c r="J21" s="7">
        <v>-0.7</v>
      </c>
      <c r="K21" s="7">
        <v>2300</v>
      </c>
      <c r="L21" s="8">
        <v>3.5760000000000001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25CD-059C-C248-8BC3-683EAE89F324}">
  <dimension ref="A1:H21"/>
  <sheetViews>
    <sheetView workbookViewId="0">
      <selection activeCell="D1" sqref="D1:D1048576"/>
    </sheetView>
  </sheetViews>
  <sheetFormatPr baseColWidth="10" defaultRowHeight="16"/>
  <sheetData>
    <row r="1" spans="1:8">
      <c r="A1" s="1" t="s">
        <v>44</v>
      </c>
      <c r="B1" s="1" t="s">
        <v>45</v>
      </c>
      <c r="C1" s="1" t="s">
        <v>46</v>
      </c>
      <c r="D1" s="1" t="s">
        <v>67</v>
      </c>
    </row>
    <row r="2" spans="1:8" ht="17">
      <c r="A2" s="2" t="s">
        <v>6</v>
      </c>
      <c r="B2" s="2" t="s">
        <v>47</v>
      </c>
      <c r="C2" s="2" t="s">
        <v>7</v>
      </c>
      <c r="D2" s="3">
        <v>89.1</v>
      </c>
      <c r="E2" s="3"/>
      <c r="F2" s="3"/>
      <c r="G2" s="3"/>
      <c r="H2" s="3"/>
    </row>
    <row r="3" spans="1:8" ht="17">
      <c r="A3" s="2" t="s">
        <v>8</v>
      </c>
      <c r="B3" s="2" t="s">
        <v>48</v>
      </c>
      <c r="C3" s="2" t="s">
        <v>9</v>
      </c>
      <c r="D3" s="3">
        <v>121.2</v>
      </c>
      <c r="E3" s="3"/>
      <c r="F3" s="3"/>
      <c r="G3" s="3"/>
      <c r="H3" s="3"/>
    </row>
    <row r="4" spans="1:8" ht="17">
      <c r="A4" s="2" t="s">
        <v>10</v>
      </c>
      <c r="B4" s="2" t="s">
        <v>49</v>
      </c>
      <c r="C4" s="2" t="s">
        <v>65</v>
      </c>
      <c r="D4" s="3">
        <v>133.1</v>
      </c>
      <c r="E4" s="3"/>
      <c r="F4" s="3"/>
      <c r="G4" s="3"/>
      <c r="H4" s="3"/>
    </row>
    <row r="5" spans="1:8" ht="17">
      <c r="A5" s="2" t="s">
        <v>11</v>
      </c>
      <c r="B5" s="2" t="s">
        <v>50</v>
      </c>
      <c r="C5" s="2" t="s">
        <v>66</v>
      </c>
      <c r="D5" s="3">
        <v>147.1</v>
      </c>
      <c r="E5" s="3"/>
      <c r="F5" s="3"/>
      <c r="G5" s="3"/>
      <c r="H5" s="3"/>
    </row>
    <row r="6" spans="1:8" ht="17">
      <c r="A6" s="2" t="s">
        <v>12</v>
      </c>
      <c r="B6" s="2" t="s">
        <v>51</v>
      </c>
      <c r="C6" s="2" t="s">
        <v>13</v>
      </c>
      <c r="D6" s="3">
        <v>165.2</v>
      </c>
      <c r="E6" s="3"/>
      <c r="F6" s="3"/>
      <c r="G6" s="3"/>
      <c r="H6" s="3"/>
    </row>
    <row r="7" spans="1:8" ht="17">
      <c r="A7" s="2" t="s">
        <v>14</v>
      </c>
      <c r="B7" s="2" t="s">
        <v>52</v>
      </c>
      <c r="C7" s="2" t="s">
        <v>15</v>
      </c>
      <c r="D7" s="3">
        <v>75.099999999999994</v>
      </c>
      <c r="E7" s="3"/>
      <c r="F7" s="3"/>
      <c r="G7" s="3"/>
      <c r="H7" s="3"/>
    </row>
    <row r="8" spans="1:8" ht="17">
      <c r="A8" s="2" t="s">
        <v>16</v>
      </c>
      <c r="B8" s="2" t="s">
        <v>53</v>
      </c>
      <c r="C8" s="2" t="s">
        <v>17</v>
      </c>
      <c r="D8" s="3">
        <v>155.19999999999999</v>
      </c>
      <c r="E8" s="3"/>
      <c r="F8" s="3"/>
      <c r="G8" s="3"/>
      <c r="H8" s="3"/>
    </row>
    <row r="9" spans="1:8" ht="17">
      <c r="A9" s="2" t="s">
        <v>18</v>
      </c>
      <c r="B9" s="2" t="s">
        <v>54</v>
      </c>
      <c r="C9" s="2" t="s">
        <v>19</v>
      </c>
      <c r="D9" s="3">
        <v>131.19999999999999</v>
      </c>
      <c r="E9" s="3"/>
      <c r="F9" s="3"/>
      <c r="G9" s="3"/>
      <c r="H9" s="3"/>
    </row>
    <row r="10" spans="1:8" ht="17">
      <c r="A10" s="2" t="s">
        <v>20</v>
      </c>
      <c r="B10" s="2" t="s">
        <v>55</v>
      </c>
      <c r="C10" s="2" t="s">
        <v>21</v>
      </c>
      <c r="D10" s="3">
        <v>146.19999999999999</v>
      </c>
      <c r="E10" s="3"/>
      <c r="F10" s="3"/>
      <c r="G10" s="3"/>
      <c r="H10" s="3"/>
    </row>
    <row r="11" spans="1:8" ht="17">
      <c r="A11" s="2" t="s">
        <v>22</v>
      </c>
      <c r="B11" s="2" t="s">
        <v>56</v>
      </c>
      <c r="C11" s="2" t="s">
        <v>23</v>
      </c>
      <c r="D11" s="3">
        <v>131.19999999999999</v>
      </c>
      <c r="E11" s="3"/>
      <c r="F11" s="3"/>
      <c r="G11" s="3"/>
      <c r="H11" s="3"/>
    </row>
    <row r="12" spans="1:8" ht="17">
      <c r="A12" s="2" t="s">
        <v>24</v>
      </c>
      <c r="B12" s="2" t="s">
        <v>57</v>
      </c>
      <c r="C12" s="2" t="s">
        <v>25</v>
      </c>
      <c r="D12" s="3">
        <v>149.19999999999999</v>
      </c>
      <c r="E12" s="3"/>
      <c r="F12" s="3"/>
      <c r="G12" s="3"/>
      <c r="H12" s="3"/>
    </row>
    <row r="13" spans="1:8" ht="17">
      <c r="A13" s="2" t="s">
        <v>26</v>
      </c>
      <c r="B13" s="2" t="s">
        <v>49</v>
      </c>
      <c r="C13" s="2" t="s">
        <v>27</v>
      </c>
      <c r="D13" s="3">
        <v>132.1</v>
      </c>
      <c r="E13" s="3"/>
      <c r="F13" s="3"/>
      <c r="G13" s="3"/>
      <c r="H13" s="3"/>
    </row>
    <row r="14" spans="1:8" ht="17">
      <c r="A14" s="2" t="s">
        <v>28</v>
      </c>
      <c r="B14" s="2" t="s">
        <v>58</v>
      </c>
      <c r="C14" s="2" t="s">
        <v>29</v>
      </c>
      <c r="D14" s="3">
        <v>115.1</v>
      </c>
      <c r="E14" s="3"/>
      <c r="F14" s="3"/>
      <c r="G14" s="3"/>
      <c r="H14" s="3"/>
    </row>
    <row r="15" spans="1:8" ht="17">
      <c r="A15" s="2" t="s">
        <v>30</v>
      </c>
      <c r="B15" s="2" t="s">
        <v>50</v>
      </c>
      <c r="C15" s="2" t="s">
        <v>31</v>
      </c>
      <c r="D15" s="3">
        <v>146.19999999999999</v>
      </c>
      <c r="E15" s="3"/>
      <c r="F15" s="3"/>
      <c r="G15" s="3"/>
      <c r="H15" s="3"/>
    </row>
    <row r="16" spans="1:8" ht="17">
      <c r="A16" s="2" t="s">
        <v>32</v>
      </c>
      <c r="B16" s="2" t="s">
        <v>59</v>
      </c>
      <c r="C16" s="2" t="s">
        <v>33</v>
      </c>
      <c r="D16" s="3">
        <v>174.2</v>
      </c>
      <c r="E16" s="3"/>
      <c r="F16" s="3"/>
      <c r="G16" s="3"/>
      <c r="H16" s="3"/>
    </row>
    <row r="17" spans="1:8" ht="17">
      <c r="A17" s="2" t="s">
        <v>34</v>
      </c>
      <c r="B17" s="2" t="s">
        <v>60</v>
      </c>
      <c r="C17" s="2" t="s">
        <v>35</v>
      </c>
      <c r="D17" s="3">
        <v>105.1</v>
      </c>
      <c r="E17" s="3"/>
      <c r="F17" s="3"/>
      <c r="G17" s="3"/>
      <c r="H17" s="3"/>
    </row>
    <row r="18" spans="1:8" ht="17">
      <c r="A18" s="2" t="s">
        <v>36</v>
      </c>
      <c r="B18" s="2" t="s">
        <v>61</v>
      </c>
      <c r="C18" s="2" t="s">
        <v>37</v>
      </c>
      <c r="D18" s="3">
        <v>119.1</v>
      </c>
      <c r="E18" s="3"/>
      <c r="F18" s="3"/>
      <c r="G18" s="3"/>
      <c r="H18" s="3"/>
    </row>
    <row r="19" spans="1:8" ht="17">
      <c r="A19" s="2" t="s">
        <v>38</v>
      </c>
      <c r="B19" s="2" t="s">
        <v>62</v>
      </c>
      <c r="C19" s="2" t="s">
        <v>39</v>
      </c>
      <c r="D19" s="3">
        <v>117.1</v>
      </c>
      <c r="E19" s="3"/>
      <c r="F19" s="3"/>
      <c r="G19" s="3"/>
      <c r="H19" s="3"/>
    </row>
    <row r="20" spans="1:8" ht="17">
      <c r="A20" s="2" t="s">
        <v>40</v>
      </c>
      <c r="B20" s="2" t="s">
        <v>63</v>
      </c>
      <c r="C20" s="2" t="s">
        <v>41</v>
      </c>
      <c r="D20" s="3">
        <v>204.2</v>
      </c>
      <c r="E20" s="3"/>
      <c r="F20" s="3"/>
      <c r="G20" s="3"/>
      <c r="H20" s="3"/>
    </row>
    <row r="21" spans="1:8" ht="17">
      <c r="A21" s="2" t="s">
        <v>42</v>
      </c>
      <c r="B21" s="2" t="s">
        <v>64</v>
      </c>
      <c r="C21" s="2" t="s">
        <v>43</v>
      </c>
      <c r="D21" s="3">
        <v>181.2</v>
      </c>
      <c r="E21" s="3"/>
      <c r="F21" s="3"/>
      <c r="G21" s="3"/>
      <c r="H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5F6F-870D-A14F-8A94-AD3D51A78B2E}">
  <dimension ref="A1:E21"/>
  <sheetViews>
    <sheetView workbookViewId="0">
      <selection activeCell="E2" sqref="E2:E21"/>
    </sheetView>
  </sheetViews>
  <sheetFormatPr baseColWidth="10" defaultRowHeight="16"/>
  <sheetData>
    <row r="1" spans="1:5">
      <c r="A1" s="1" t="s">
        <v>44</v>
      </c>
      <c r="B1" s="1" t="s">
        <v>45</v>
      </c>
      <c r="C1" s="1" t="s">
        <v>46</v>
      </c>
      <c r="D1" s="1" t="s">
        <v>68</v>
      </c>
      <c r="E1" s="1" t="s">
        <v>75</v>
      </c>
    </row>
    <row r="2" spans="1:5">
      <c r="A2" s="2" t="s">
        <v>6</v>
      </c>
      <c r="B2" s="2" t="s">
        <v>47</v>
      </c>
      <c r="C2" s="2" t="s">
        <v>7</v>
      </c>
      <c r="D2" s="2">
        <v>0</v>
      </c>
      <c r="E2" s="2">
        <v>0</v>
      </c>
    </row>
    <row r="3" spans="1:5">
      <c r="A3" s="2" t="s">
        <v>8</v>
      </c>
      <c r="B3" s="2" t="s">
        <v>48</v>
      </c>
      <c r="C3" s="2" t="s">
        <v>9</v>
      </c>
      <c r="D3" s="2">
        <v>0</v>
      </c>
      <c r="E3" s="2">
        <v>0</v>
      </c>
    </row>
    <row r="4" spans="1:5">
      <c r="A4" s="2" t="s">
        <v>10</v>
      </c>
      <c r="B4" s="2" t="s">
        <v>49</v>
      </c>
      <c r="C4" s="2" t="s">
        <v>65</v>
      </c>
      <c r="D4" s="2">
        <v>0</v>
      </c>
      <c r="E4" s="2">
        <v>0</v>
      </c>
    </row>
    <row r="5" spans="1:5">
      <c r="A5" s="2" t="s">
        <v>11</v>
      </c>
      <c r="B5" s="2" t="s">
        <v>50</v>
      </c>
      <c r="C5" s="2" t="s">
        <v>66</v>
      </c>
      <c r="D5" s="2">
        <v>0</v>
      </c>
      <c r="E5" s="2">
        <v>0</v>
      </c>
    </row>
    <row r="6" spans="1:5">
      <c r="A6" s="2" t="s">
        <v>12</v>
      </c>
      <c r="B6" s="2" t="s">
        <v>51</v>
      </c>
      <c r="C6" s="2" t="s">
        <v>13</v>
      </c>
      <c r="D6" s="2">
        <v>1</v>
      </c>
      <c r="E6" s="2">
        <v>1</v>
      </c>
    </row>
    <row r="7" spans="1:5">
      <c r="A7" s="2" t="s">
        <v>14</v>
      </c>
      <c r="B7" s="2" t="s">
        <v>52</v>
      </c>
      <c r="C7" s="2" t="s">
        <v>15</v>
      </c>
      <c r="D7" s="2">
        <v>0</v>
      </c>
      <c r="E7" s="2">
        <v>0</v>
      </c>
    </row>
    <row r="8" spans="1:5">
      <c r="A8" s="2" t="s">
        <v>16</v>
      </c>
      <c r="B8" s="2" t="s">
        <v>53</v>
      </c>
      <c r="C8" s="2" t="s">
        <v>17</v>
      </c>
      <c r="D8" s="2">
        <v>1</v>
      </c>
      <c r="E8" s="2">
        <v>1</v>
      </c>
    </row>
    <row r="9" spans="1:5">
      <c r="A9" s="2" t="s">
        <v>18</v>
      </c>
      <c r="B9" s="2" t="s">
        <v>54</v>
      </c>
      <c r="C9" s="2" t="s">
        <v>19</v>
      </c>
      <c r="D9" s="2">
        <v>0</v>
      </c>
      <c r="E9" s="2">
        <v>0</v>
      </c>
    </row>
    <row r="10" spans="1:5">
      <c r="A10" s="2" t="s">
        <v>20</v>
      </c>
      <c r="B10" s="2" t="s">
        <v>55</v>
      </c>
      <c r="C10" s="2" t="s">
        <v>21</v>
      </c>
      <c r="D10" s="2">
        <v>0</v>
      </c>
      <c r="E10" s="2">
        <v>0</v>
      </c>
    </row>
    <row r="11" spans="1:5">
      <c r="A11" s="2" t="s">
        <v>22</v>
      </c>
      <c r="B11" s="2" t="s">
        <v>56</v>
      </c>
      <c r="C11" s="2" t="s">
        <v>23</v>
      </c>
      <c r="D11" s="2">
        <v>0</v>
      </c>
      <c r="E11" s="2">
        <v>0</v>
      </c>
    </row>
    <row r="12" spans="1:5">
      <c r="A12" s="2" t="s">
        <v>24</v>
      </c>
      <c r="B12" s="2" t="s">
        <v>57</v>
      </c>
      <c r="C12" s="2" t="s">
        <v>25</v>
      </c>
      <c r="D12" s="2">
        <v>0</v>
      </c>
      <c r="E12" s="2">
        <v>0</v>
      </c>
    </row>
    <row r="13" spans="1:5">
      <c r="A13" s="2" t="s">
        <v>26</v>
      </c>
      <c r="B13" s="2" t="s">
        <v>49</v>
      </c>
      <c r="C13" s="2" t="s">
        <v>27</v>
      </c>
      <c r="D13" s="2">
        <v>0</v>
      </c>
      <c r="E13" s="2">
        <v>0</v>
      </c>
    </row>
    <row r="14" spans="1:5">
      <c r="A14" s="2" t="s">
        <v>28</v>
      </c>
      <c r="B14" s="2" t="s">
        <v>58</v>
      </c>
      <c r="C14" s="2" t="s">
        <v>29</v>
      </c>
      <c r="D14" s="2">
        <v>0</v>
      </c>
      <c r="E14" s="2">
        <v>0</v>
      </c>
    </row>
    <row r="15" spans="1:5">
      <c r="A15" s="2" t="s">
        <v>30</v>
      </c>
      <c r="B15" s="2" t="s">
        <v>50</v>
      </c>
      <c r="C15" s="2" t="s">
        <v>31</v>
      </c>
      <c r="D15" s="2">
        <v>0</v>
      </c>
      <c r="E15" s="2">
        <v>0</v>
      </c>
    </row>
    <row r="16" spans="1:5">
      <c r="A16" s="2" t="s">
        <v>32</v>
      </c>
      <c r="B16" s="2" t="s">
        <v>59</v>
      </c>
      <c r="C16" s="2" t="s">
        <v>33</v>
      </c>
      <c r="D16" s="2">
        <v>0</v>
      </c>
      <c r="E16" s="2">
        <v>0</v>
      </c>
    </row>
    <row r="17" spans="1:5">
      <c r="A17" s="2" t="s">
        <v>34</v>
      </c>
      <c r="B17" s="2" t="s">
        <v>60</v>
      </c>
      <c r="C17" s="2" t="s">
        <v>35</v>
      </c>
      <c r="D17" s="2">
        <v>0</v>
      </c>
      <c r="E17" s="2">
        <v>0</v>
      </c>
    </row>
    <row r="18" spans="1:5">
      <c r="A18" s="2" t="s">
        <v>36</v>
      </c>
      <c r="B18" s="2" t="s">
        <v>61</v>
      </c>
      <c r="C18" s="2" t="s">
        <v>37</v>
      </c>
      <c r="D18" s="2">
        <v>0</v>
      </c>
      <c r="E18" s="2">
        <v>0</v>
      </c>
    </row>
    <row r="19" spans="1:5">
      <c r="A19" s="2" t="s">
        <v>38</v>
      </c>
      <c r="B19" s="2" t="s">
        <v>62</v>
      </c>
      <c r="C19" s="2" t="s">
        <v>39</v>
      </c>
      <c r="D19" s="2">
        <v>0</v>
      </c>
      <c r="E19" s="2">
        <v>0</v>
      </c>
    </row>
    <row r="20" spans="1:5">
      <c r="A20" s="2" t="s">
        <v>40</v>
      </c>
      <c r="B20" s="2" t="s">
        <v>63</v>
      </c>
      <c r="C20" s="2" t="s">
        <v>41</v>
      </c>
      <c r="D20" s="2">
        <v>1</v>
      </c>
      <c r="E20" s="2">
        <v>2</v>
      </c>
    </row>
    <row r="21" spans="1:5">
      <c r="A21" s="2" t="s">
        <v>42</v>
      </c>
      <c r="B21" s="2" t="s">
        <v>64</v>
      </c>
      <c r="C21" s="2" t="s">
        <v>43</v>
      </c>
      <c r="D21" s="2">
        <v>1</v>
      </c>
      <c r="E21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39F5-3746-DC49-8F59-221A24F1A610}">
  <dimension ref="A1:Q21"/>
  <sheetViews>
    <sheetView tabSelected="1" workbookViewId="0">
      <selection activeCell="O8" sqref="O8"/>
    </sheetView>
  </sheetViews>
  <sheetFormatPr baseColWidth="10" defaultRowHeight="16"/>
  <cols>
    <col min="1" max="2" width="7.1640625" bestFit="1" customWidth="1"/>
    <col min="3" max="3" width="12.1640625" bestFit="1" customWidth="1"/>
    <col min="7" max="7" width="13" bestFit="1" customWidth="1"/>
    <col min="8" max="8" width="12.6640625" bestFit="1" customWidth="1"/>
    <col min="9" max="9" width="8.6640625" bestFit="1" customWidth="1"/>
    <col min="10" max="10" width="9.6640625" bestFit="1" customWidth="1"/>
    <col min="11" max="11" width="5.33203125" bestFit="1" customWidth="1"/>
    <col min="12" max="12" width="6" bestFit="1" customWidth="1"/>
    <col min="13" max="13" width="14.33203125" bestFit="1" customWidth="1"/>
    <col min="14" max="15" width="10.83203125" style="7"/>
  </cols>
  <sheetData>
    <row r="1" spans="1:17">
      <c r="A1" s="1" t="s">
        <v>44</v>
      </c>
      <c r="B1" s="1" t="s">
        <v>45</v>
      </c>
      <c r="C1" s="1" t="s">
        <v>46</v>
      </c>
      <c r="D1" s="1" t="s">
        <v>67</v>
      </c>
      <c r="E1" s="1" t="s">
        <v>68</v>
      </c>
      <c r="F1" s="1" t="s">
        <v>75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69</v>
      </c>
      <c r="N1" s="6" t="s">
        <v>71</v>
      </c>
      <c r="O1" s="6" t="s">
        <v>70</v>
      </c>
      <c r="P1" s="10" t="s">
        <v>211</v>
      </c>
      <c r="Q1" s="10" t="s">
        <v>170</v>
      </c>
    </row>
    <row r="2" spans="1:17" ht="17">
      <c r="A2" s="2" t="s">
        <v>6</v>
      </c>
      <c r="B2" s="2" t="s">
        <v>47</v>
      </c>
      <c r="C2" s="2" t="s">
        <v>7</v>
      </c>
      <c r="D2" s="3">
        <v>89.1</v>
      </c>
      <c r="E2" s="2">
        <v>0</v>
      </c>
      <c r="F2" s="2">
        <v>0</v>
      </c>
      <c r="G2" s="2">
        <v>1.8</v>
      </c>
      <c r="H2" s="2">
        <v>-0.5</v>
      </c>
      <c r="I2" s="2">
        <v>0.2</v>
      </c>
      <c r="J2" s="2">
        <v>0.62</v>
      </c>
      <c r="K2" s="2">
        <v>0.74</v>
      </c>
      <c r="L2" s="2">
        <v>0.3</v>
      </c>
      <c r="M2" s="2">
        <v>1.6</v>
      </c>
      <c r="N2" s="7">
        <v>500</v>
      </c>
      <c r="O2" s="8">
        <v>0.66500000000000004</v>
      </c>
      <c r="P2">
        <v>-2.0658600000000003</v>
      </c>
      <c r="Q2">
        <v>-2.0658600000000003</v>
      </c>
    </row>
    <row r="3" spans="1:17" ht="17">
      <c r="A3" s="2" t="s">
        <v>8</v>
      </c>
      <c r="B3" s="2" t="s">
        <v>48</v>
      </c>
      <c r="C3" s="2" t="s">
        <v>9</v>
      </c>
      <c r="D3" s="3">
        <v>121.2</v>
      </c>
      <c r="E3" s="2">
        <v>0</v>
      </c>
      <c r="F3" s="2">
        <v>0</v>
      </c>
      <c r="G3" s="2">
        <v>2.5</v>
      </c>
      <c r="H3" s="2">
        <v>-1</v>
      </c>
      <c r="I3" s="2">
        <v>4.0999999999999996</v>
      </c>
      <c r="J3" s="2">
        <v>0.28999999999999998</v>
      </c>
      <c r="K3" s="2">
        <v>0.91</v>
      </c>
      <c r="L3" s="2">
        <v>0.9</v>
      </c>
      <c r="M3" s="2">
        <v>2</v>
      </c>
      <c r="O3" s="8">
        <v>1.2849999999999999</v>
      </c>
      <c r="P3">
        <v>-1.16316</v>
      </c>
      <c r="Q3">
        <v>-1.16316</v>
      </c>
    </row>
    <row r="4" spans="1:17" ht="17">
      <c r="A4" s="2" t="s">
        <v>10</v>
      </c>
      <c r="B4" s="2" t="s">
        <v>49</v>
      </c>
      <c r="C4" s="2" t="s">
        <v>65</v>
      </c>
      <c r="D4" s="3">
        <v>133.1</v>
      </c>
      <c r="E4" s="2">
        <v>0</v>
      </c>
      <c r="F4" s="2">
        <v>0</v>
      </c>
      <c r="G4" s="2">
        <v>-3.5</v>
      </c>
      <c r="H4" s="2">
        <v>3</v>
      </c>
      <c r="I4" s="2">
        <v>-3.1</v>
      </c>
      <c r="J4" s="2">
        <v>-0.9</v>
      </c>
      <c r="K4" s="2">
        <v>0.62</v>
      </c>
      <c r="L4" s="2">
        <v>-0.6</v>
      </c>
      <c r="M4" s="2">
        <v>-9.1999999999999993</v>
      </c>
      <c r="O4" s="8">
        <v>2.3889999999999998</v>
      </c>
      <c r="P4">
        <v>-9.1149199999999997</v>
      </c>
      <c r="Q4">
        <v>-9.1149199999999997</v>
      </c>
    </row>
    <row r="5" spans="1:17" ht="17">
      <c r="A5" s="2" t="s">
        <v>11</v>
      </c>
      <c r="B5" s="2" t="s">
        <v>50</v>
      </c>
      <c r="C5" s="2" t="s">
        <v>66</v>
      </c>
      <c r="D5" s="3">
        <v>147.1</v>
      </c>
      <c r="E5" s="2">
        <v>0</v>
      </c>
      <c r="F5" s="2">
        <v>0</v>
      </c>
      <c r="G5" s="2">
        <v>-3.5</v>
      </c>
      <c r="H5" s="2">
        <v>3</v>
      </c>
      <c r="I5" s="2">
        <v>-1.8</v>
      </c>
      <c r="J5" s="2">
        <v>-0.74</v>
      </c>
      <c r="K5" s="2">
        <v>0.62</v>
      </c>
      <c r="L5" s="2">
        <v>-0.7</v>
      </c>
      <c r="M5" s="2">
        <v>-8.1999999999999993</v>
      </c>
      <c r="O5" s="8">
        <v>1.8959999999999999</v>
      </c>
      <c r="P5">
        <v>-8.7185600000000001</v>
      </c>
      <c r="Q5">
        <v>-8.7185600000000001</v>
      </c>
    </row>
    <row r="6" spans="1:17" ht="17">
      <c r="A6" s="2" t="s">
        <v>12</v>
      </c>
      <c r="B6" s="2" t="s">
        <v>51</v>
      </c>
      <c r="C6" s="2" t="s">
        <v>13</v>
      </c>
      <c r="D6" s="3">
        <v>165.2</v>
      </c>
      <c r="E6" s="2">
        <v>1</v>
      </c>
      <c r="F6" s="2">
        <v>1</v>
      </c>
      <c r="G6" s="2">
        <v>2.8</v>
      </c>
      <c r="H6" s="2">
        <v>-2.5</v>
      </c>
      <c r="I6" s="2">
        <v>4.4000000000000004</v>
      </c>
      <c r="J6" s="2">
        <v>1.19</v>
      </c>
      <c r="K6" s="2">
        <v>0.88</v>
      </c>
      <c r="L6" s="2">
        <v>0.5</v>
      </c>
      <c r="M6" s="2">
        <v>3.7</v>
      </c>
      <c r="N6" s="7">
        <v>2500</v>
      </c>
      <c r="O6" s="8">
        <v>3.016</v>
      </c>
      <c r="P6">
        <v>-1.4189200000000002</v>
      </c>
      <c r="Q6">
        <v>-0.71892000000000023</v>
      </c>
    </row>
    <row r="7" spans="1:17" ht="17">
      <c r="A7" s="2" t="s">
        <v>14</v>
      </c>
      <c r="B7" s="2" t="s">
        <v>52</v>
      </c>
      <c r="C7" s="2" t="s">
        <v>15</v>
      </c>
      <c r="D7" s="3">
        <v>75.099999999999994</v>
      </c>
      <c r="E7" s="2">
        <v>0</v>
      </c>
      <c r="F7" s="2">
        <v>0</v>
      </c>
      <c r="G7" s="2">
        <v>-0.4</v>
      </c>
      <c r="H7" s="2">
        <v>0</v>
      </c>
      <c r="I7" s="2">
        <v>0</v>
      </c>
      <c r="J7" s="2">
        <v>0.48</v>
      </c>
      <c r="K7" s="2">
        <v>0.72</v>
      </c>
      <c r="L7" s="2">
        <v>0.3</v>
      </c>
      <c r="M7" s="2">
        <v>1</v>
      </c>
      <c r="O7" s="8">
        <v>0</v>
      </c>
      <c r="P7">
        <v>-2.4055200000000001</v>
      </c>
      <c r="Q7">
        <v>-2.4055200000000001</v>
      </c>
    </row>
    <row r="8" spans="1:17" ht="17">
      <c r="A8" s="2" t="s">
        <v>16</v>
      </c>
      <c r="B8" s="2" t="s">
        <v>53</v>
      </c>
      <c r="C8" s="2" t="s">
        <v>17</v>
      </c>
      <c r="D8" s="3">
        <v>155.19999999999999</v>
      </c>
      <c r="E8" s="2">
        <v>1</v>
      </c>
      <c r="F8" s="2">
        <v>1</v>
      </c>
      <c r="G8" s="2">
        <v>-3.2</v>
      </c>
      <c r="H8" s="2">
        <v>-0.5</v>
      </c>
      <c r="I8" s="2">
        <v>0.5</v>
      </c>
      <c r="J8" s="2">
        <v>-0.4</v>
      </c>
      <c r="K8" s="2">
        <v>0.78</v>
      </c>
      <c r="L8" s="2">
        <v>-0.1</v>
      </c>
      <c r="M8" s="2">
        <v>-3</v>
      </c>
      <c r="N8" s="7">
        <v>500</v>
      </c>
      <c r="O8" s="8">
        <v>0.65800000000000003</v>
      </c>
      <c r="P8">
        <v>-3.4226900000000002</v>
      </c>
      <c r="Q8">
        <v>-2.7226900000000001</v>
      </c>
    </row>
    <row r="9" spans="1:17" ht="17">
      <c r="A9" s="2" t="s">
        <v>18</v>
      </c>
      <c r="B9" s="2" t="s">
        <v>54</v>
      </c>
      <c r="C9" s="2" t="s">
        <v>19</v>
      </c>
      <c r="D9" s="3">
        <v>131.19999999999999</v>
      </c>
      <c r="E9" s="2">
        <v>0</v>
      </c>
      <c r="F9" s="2">
        <v>0</v>
      </c>
      <c r="G9" s="2">
        <v>4.5</v>
      </c>
      <c r="H9" s="2">
        <v>-1.8</v>
      </c>
      <c r="I9" s="2">
        <v>4.8</v>
      </c>
      <c r="J9" s="2">
        <v>1.38</v>
      </c>
      <c r="K9" s="2">
        <v>0.88</v>
      </c>
      <c r="L9" s="2">
        <v>0.7</v>
      </c>
      <c r="M9" s="2">
        <v>3.1</v>
      </c>
      <c r="O9" s="8">
        <v>2.294</v>
      </c>
      <c r="P9">
        <v>-0.44475999999999999</v>
      </c>
      <c r="Q9">
        <v>-0.44475999999999999</v>
      </c>
    </row>
    <row r="10" spans="1:17" ht="17">
      <c r="A10" s="2" t="s">
        <v>20</v>
      </c>
      <c r="B10" s="2" t="s">
        <v>55</v>
      </c>
      <c r="C10" s="2" t="s">
        <v>21</v>
      </c>
      <c r="D10" s="3">
        <v>146.19999999999999</v>
      </c>
      <c r="E10" s="2">
        <v>0</v>
      </c>
      <c r="F10" s="2">
        <v>0</v>
      </c>
      <c r="G10" s="2">
        <v>-3.9</v>
      </c>
      <c r="H10" s="2">
        <v>3</v>
      </c>
      <c r="I10" s="2">
        <v>-3.1</v>
      </c>
      <c r="J10" s="2">
        <v>-1.5</v>
      </c>
      <c r="K10" s="2">
        <v>0.52</v>
      </c>
      <c r="L10" s="2">
        <v>-1.8</v>
      </c>
      <c r="M10" s="2">
        <v>-8.8000000000000007</v>
      </c>
      <c r="O10" s="8">
        <v>1.236</v>
      </c>
      <c r="P10">
        <v>-3.0346500000000001</v>
      </c>
      <c r="Q10">
        <v>-3.0346500000000001</v>
      </c>
    </row>
    <row r="11" spans="1:17" ht="17">
      <c r="A11" s="2" t="s">
        <v>22</v>
      </c>
      <c r="B11" s="2" t="s">
        <v>56</v>
      </c>
      <c r="C11" s="2" t="s">
        <v>23</v>
      </c>
      <c r="D11" s="3">
        <v>131.19999999999999</v>
      </c>
      <c r="E11" s="2">
        <v>0</v>
      </c>
      <c r="F11" s="2">
        <v>0</v>
      </c>
      <c r="G11" s="2">
        <v>3.8</v>
      </c>
      <c r="H11" s="2">
        <v>-1.8</v>
      </c>
      <c r="I11" s="2">
        <v>5.7</v>
      </c>
      <c r="J11" s="2">
        <v>1.06</v>
      </c>
      <c r="K11" s="2">
        <v>0.85</v>
      </c>
      <c r="L11" s="2">
        <v>0.5</v>
      </c>
      <c r="M11" s="2">
        <v>2.8</v>
      </c>
      <c r="N11" s="7">
        <v>1800</v>
      </c>
      <c r="O11" s="8">
        <v>2.5499999999999998</v>
      </c>
      <c r="P11">
        <v>-0.40955999999999998</v>
      </c>
      <c r="Q11">
        <v>-0.40955999999999998</v>
      </c>
    </row>
    <row r="12" spans="1:17" ht="17">
      <c r="A12" s="2" t="s">
        <v>24</v>
      </c>
      <c r="B12" s="2" t="s">
        <v>57</v>
      </c>
      <c r="C12" s="2" t="s">
        <v>25</v>
      </c>
      <c r="D12" s="3">
        <v>149.19999999999999</v>
      </c>
      <c r="E12" s="2">
        <v>0</v>
      </c>
      <c r="F12" s="2">
        <v>0</v>
      </c>
      <c r="G12" s="2">
        <v>1.9</v>
      </c>
      <c r="H12" s="2">
        <v>-1.3</v>
      </c>
      <c r="I12" s="2">
        <v>4.2</v>
      </c>
      <c r="J12" s="2">
        <v>0.64</v>
      </c>
      <c r="K12" s="2">
        <v>0.85</v>
      </c>
      <c r="L12" s="2">
        <v>0.4</v>
      </c>
      <c r="M12" s="2">
        <v>3.4</v>
      </c>
      <c r="N12" s="7">
        <v>1300</v>
      </c>
      <c r="O12" s="8">
        <v>2.3239999999999998</v>
      </c>
      <c r="P12">
        <v>-0.21843000000000001</v>
      </c>
      <c r="Q12">
        <v>-0.21843000000000001</v>
      </c>
    </row>
    <row r="13" spans="1:17" ht="17">
      <c r="A13" s="2" t="s">
        <v>26</v>
      </c>
      <c r="B13" s="2" t="s">
        <v>49</v>
      </c>
      <c r="C13" s="2" t="s">
        <v>27</v>
      </c>
      <c r="D13" s="3">
        <v>132.1</v>
      </c>
      <c r="E13" s="2">
        <v>0</v>
      </c>
      <c r="F13" s="2">
        <v>0</v>
      </c>
      <c r="G13" s="2">
        <v>-3.5</v>
      </c>
      <c r="H13" s="2">
        <v>0.2</v>
      </c>
      <c r="I13" s="2">
        <v>-0.5</v>
      </c>
      <c r="J13" s="2">
        <v>-0.78</v>
      </c>
      <c r="K13" s="2">
        <v>0.63</v>
      </c>
      <c r="L13" s="2">
        <v>-0.5</v>
      </c>
      <c r="M13" s="2">
        <v>-4.8</v>
      </c>
      <c r="O13" s="8">
        <v>1.3580000000000001</v>
      </c>
      <c r="P13">
        <v>-7.3605</v>
      </c>
      <c r="Q13">
        <v>-7.3605</v>
      </c>
    </row>
    <row r="14" spans="1:17" ht="17">
      <c r="A14" s="2" t="s">
        <v>28</v>
      </c>
      <c r="B14" s="2" t="s">
        <v>58</v>
      </c>
      <c r="C14" s="2" t="s">
        <v>29</v>
      </c>
      <c r="D14" s="3">
        <v>115.1</v>
      </c>
      <c r="E14" s="2">
        <v>0</v>
      </c>
      <c r="F14" s="2">
        <v>0</v>
      </c>
      <c r="G14" s="2">
        <v>-1.6</v>
      </c>
      <c r="H14" s="2">
        <v>0</v>
      </c>
      <c r="I14" s="2">
        <v>-2.2000000000000002</v>
      </c>
      <c r="J14" s="2">
        <v>0.12</v>
      </c>
      <c r="K14" s="2">
        <v>0.64</v>
      </c>
      <c r="L14" s="2">
        <v>-0.3</v>
      </c>
      <c r="M14" s="2">
        <v>-0.2</v>
      </c>
      <c r="O14" s="8"/>
      <c r="P14">
        <v>1.05484</v>
      </c>
      <c r="Q14">
        <v>1.05484</v>
      </c>
    </row>
    <row r="15" spans="1:17" ht="17">
      <c r="A15" s="2" t="s">
        <v>30</v>
      </c>
      <c r="B15" s="2" t="s">
        <v>50</v>
      </c>
      <c r="C15" s="2" t="s">
        <v>31</v>
      </c>
      <c r="D15" s="3">
        <v>146.19999999999999</v>
      </c>
      <c r="E15" s="2">
        <v>0</v>
      </c>
      <c r="F15" s="2">
        <v>0</v>
      </c>
      <c r="G15" s="2">
        <v>-3.5</v>
      </c>
      <c r="H15" s="2">
        <v>0.2</v>
      </c>
      <c r="I15" s="2">
        <v>-2.8</v>
      </c>
      <c r="J15" s="2">
        <v>-0.85</v>
      </c>
      <c r="K15" s="2">
        <v>0.62</v>
      </c>
      <c r="L15" s="2">
        <v>-0.7</v>
      </c>
      <c r="M15" s="2">
        <v>-4.0999999999999996</v>
      </c>
      <c r="O15" s="8">
        <v>0.20499999999999999</v>
      </c>
      <c r="P15">
        <v>-6.7961800000000006</v>
      </c>
      <c r="Q15">
        <v>-6.7961800000000006</v>
      </c>
    </row>
    <row r="16" spans="1:17" ht="17">
      <c r="A16" s="2" t="s">
        <v>32</v>
      </c>
      <c r="B16" s="2" t="s">
        <v>59</v>
      </c>
      <c r="C16" s="2" t="s">
        <v>33</v>
      </c>
      <c r="D16" s="3">
        <v>174.2</v>
      </c>
      <c r="E16" s="2">
        <v>0</v>
      </c>
      <c r="F16" s="2">
        <v>0</v>
      </c>
      <c r="G16" s="2">
        <v>-4.5</v>
      </c>
      <c r="H16" s="2">
        <v>3</v>
      </c>
      <c r="I16" s="2">
        <v>1.4</v>
      </c>
      <c r="J16" s="2">
        <v>-2.5299999999999998</v>
      </c>
      <c r="K16" s="2">
        <v>0.64</v>
      </c>
      <c r="L16" s="2">
        <v>-1.4</v>
      </c>
      <c r="M16" s="2">
        <v>-12.3</v>
      </c>
      <c r="O16" s="8">
        <v>0.624</v>
      </c>
      <c r="P16">
        <v>-6.28329</v>
      </c>
      <c r="Q16">
        <v>-6.28329</v>
      </c>
    </row>
    <row r="17" spans="1:17" ht="17">
      <c r="A17" s="2" t="s">
        <v>34</v>
      </c>
      <c r="B17" s="2" t="s">
        <v>60</v>
      </c>
      <c r="C17" s="2" t="s">
        <v>35</v>
      </c>
      <c r="D17" s="3">
        <v>105.1</v>
      </c>
      <c r="E17" s="2">
        <v>0</v>
      </c>
      <c r="F17" s="2">
        <v>0</v>
      </c>
      <c r="G17" s="2">
        <v>-0.8</v>
      </c>
      <c r="H17" s="2">
        <v>0.3</v>
      </c>
      <c r="I17" s="2">
        <v>-0.5</v>
      </c>
      <c r="J17" s="2">
        <v>-0.18</v>
      </c>
      <c r="K17" s="2">
        <v>0.66</v>
      </c>
      <c r="L17" s="2">
        <v>-0.1</v>
      </c>
      <c r="M17" s="2">
        <v>0.6</v>
      </c>
      <c r="N17" s="7">
        <v>-300</v>
      </c>
      <c r="O17" s="8">
        <v>0.53300000000000003</v>
      </c>
      <c r="P17">
        <v>-4.2953199999999994</v>
      </c>
      <c r="Q17">
        <v>-4.2953199999999994</v>
      </c>
    </row>
    <row r="18" spans="1:17" ht="17">
      <c r="A18" s="2" t="s">
        <v>36</v>
      </c>
      <c r="B18" s="2" t="s">
        <v>61</v>
      </c>
      <c r="C18" s="2" t="s">
        <v>37</v>
      </c>
      <c r="D18" s="3">
        <v>119.1</v>
      </c>
      <c r="E18" s="2">
        <v>0</v>
      </c>
      <c r="F18" s="2">
        <v>0</v>
      </c>
      <c r="G18" s="2">
        <v>-0.7</v>
      </c>
      <c r="H18" s="2">
        <v>-0.4</v>
      </c>
      <c r="I18" s="2">
        <v>-1.9</v>
      </c>
      <c r="J18" s="2">
        <v>-0.05</v>
      </c>
      <c r="K18" s="2">
        <v>0.7</v>
      </c>
      <c r="L18" s="2">
        <v>-0.2</v>
      </c>
      <c r="M18" s="2">
        <v>1.2</v>
      </c>
      <c r="N18" s="7">
        <v>400</v>
      </c>
      <c r="O18" s="8">
        <v>0.77400000000000002</v>
      </c>
      <c r="P18">
        <v>-3.3209</v>
      </c>
      <c r="Q18">
        <v>-3.3209</v>
      </c>
    </row>
    <row r="19" spans="1:17" ht="17">
      <c r="A19" s="2" t="s">
        <v>38</v>
      </c>
      <c r="B19" s="2" t="s">
        <v>62</v>
      </c>
      <c r="C19" s="2" t="s">
        <v>39</v>
      </c>
      <c r="D19" s="3">
        <v>117.1</v>
      </c>
      <c r="E19" s="2">
        <v>0</v>
      </c>
      <c r="F19" s="2">
        <v>0</v>
      </c>
      <c r="G19" s="2">
        <v>4.2</v>
      </c>
      <c r="H19" s="2">
        <v>-1.5</v>
      </c>
      <c r="I19" s="2">
        <v>4.7</v>
      </c>
      <c r="J19" s="2">
        <v>1.08</v>
      </c>
      <c r="K19" s="2">
        <v>0.86</v>
      </c>
      <c r="L19" s="2">
        <v>0.6</v>
      </c>
      <c r="M19" s="2">
        <v>2.6</v>
      </c>
      <c r="N19" s="7">
        <v>1500</v>
      </c>
      <c r="O19" s="8">
        <v>1.6850000000000001</v>
      </c>
      <c r="P19">
        <v>-0.90260000000000007</v>
      </c>
      <c r="Q19">
        <v>-0.90260000000000007</v>
      </c>
    </row>
    <row r="20" spans="1:17" ht="17">
      <c r="A20" s="2" t="s">
        <v>40</v>
      </c>
      <c r="B20" s="2" t="s">
        <v>63</v>
      </c>
      <c r="C20" s="2" t="s">
        <v>41</v>
      </c>
      <c r="D20" s="3">
        <v>204.2</v>
      </c>
      <c r="E20" s="2">
        <v>1</v>
      </c>
      <c r="F20" s="2">
        <v>2</v>
      </c>
      <c r="G20" s="2">
        <v>-0.9</v>
      </c>
      <c r="H20" s="2">
        <v>-3.4</v>
      </c>
      <c r="I20" s="2">
        <v>1</v>
      </c>
      <c r="J20" s="2">
        <v>0.81</v>
      </c>
      <c r="K20" s="2">
        <v>0.85</v>
      </c>
      <c r="L20" s="2">
        <v>0.3</v>
      </c>
      <c r="M20" s="2">
        <v>1.9</v>
      </c>
      <c r="N20" s="7">
        <v>3400</v>
      </c>
      <c r="O20" s="8">
        <v>4.2699999999999996</v>
      </c>
      <c r="P20">
        <v>-2.1992600000000002</v>
      </c>
      <c r="Q20">
        <v>-0.7992600000000003</v>
      </c>
    </row>
    <row r="21" spans="1:17" ht="17">
      <c r="A21" s="2" t="s">
        <v>42</v>
      </c>
      <c r="B21" s="2" t="s">
        <v>64</v>
      </c>
      <c r="C21" s="2" t="s">
        <v>43</v>
      </c>
      <c r="D21" s="3">
        <v>181.2</v>
      </c>
      <c r="E21" s="2">
        <v>1</v>
      </c>
      <c r="F21" s="2">
        <v>1</v>
      </c>
      <c r="G21" s="2">
        <v>-1.3</v>
      </c>
      <c r="H21" s="2">
        <v>-2.2999999999999998</v>
      </c>
      <c r="I21" s="2">
        <v>3.2</v>
      </c>
      <c r="J21" s="2">
        <v>0.26</v>
      </c>
      <c r="K21" s="2">
        <v>0.76</v>
      </c>
      <c r="L21" s="2">
        <v>-0.4</v>
      </c>
      <c r="M21" s="2">
        <v>-0.7</v>
      </c>
      <c r="N21" s="7">
        <v>2300</v>
      </c>
      <c r="O21" s="8">
        <v>3.5760000000000001</v>
      </c>
      <c r="P21">
        <v>-3.9160999999999997</v>
      </c>
      <c r="Q21">
        <v>-3.2161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Tanford_scale</vt:lpstr>
      <vt:lpstr>Song-transfer_energies</vt:lpstr>
      <vt:lpstr>Krantz_scale</vt:lpstr>
      <vt:lpstr>hydrophobicity</vt:lpstr>
      <vt:lpstr>mol_wt</vt:lpstr>
      <vt:lpstr>aromaticity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2025-09-03T12:07:20Z</dcterms:created>
  <dcterms:modified xsi:type="dcterms:W3CDTF">2025-09-09T17:02:51Z</dcterms:modified>
</cp:coreProperties>
</file>